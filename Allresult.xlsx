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ivate\PHD\20-7-2024ResultPDF\20-7-2024MyWorkProposal\Results\"/>
    </mc:Choice>
  </mc:AlternateContent>
  <xr:revisionPtr revIDLastSave="0" documentId="13_ncr:1_{F60897A5-BD57-487B-AEDE-3978283DF0F7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AllResult" sheetId="11" r:id="rId1"/>
    <sheet name="Sheet2" sheetId="5" r:id="rId2"/>
    <sheet name="Sheet3" sheetId="7" r:id="rId3"/>
    <sheet name="Sheet4" sheetId="8" r:id="rId4"/>
    <sheet name="Sheet5" sheetId="9" r:id="rId5"/>
    <sheet name="Sheet6" sheetId="10" r:id="rId6"/>
    <sheet name="Sheet1" sheetId="1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12" l="1"/>
  <c r="G18" i="12"/>
  <c r="E19" i="12"/>
  <c r="E18" i="12"/>
  <c r="J17" i="10"/>
  <c r="I17" i="10"/>
  <c r="G17" i="10"/>
  <c r="F17" i="10"/>
  <c r="AE26" i="5"/>
  <c r="AD26" i="5"/>
  <c r="BB26" i="5"/>
  <c r="BA26" i="5"/>
  <c r="BB9" i="5"/>
  <c r="BA9" i="5"/>
  <c r="AE9" i="5"/>
  <c r="AD9" i="5"/>
  <c r="U12" i="11"/>
  <c r="AE10" i="5"/>
  <c r="AD10" i="5"/>
  <c r="BB10" i="5"/>
  <c r="BA10" i="5"/>
  <c r="BB3" i="5"/>
  <c r="AE20" i="5"/>
  <c r="AE15" i="5"/>
  <c r="AE3" i="5"/>
  <c r="AD15" i="5"/>
  <c r="BA15" i="5"/>
  <c r="BA20" i="5" l="1"/>
  <c r="AD20" i="5"/>
  <c r="BA22" i="5"/>
  <c r="AD22" i="5"/>
  <c r="BA12" i="5"/>
  <c r="AD12" i="5"/>
  <c r="BA17" i="5"/>
  <c r="AD17" i="5"/>
  <c r="G22" i="5"/>
  <c r="G17" i="5"/>
  <c r="G12" i="5"/>
  <c r="G4" i="5"/>
  <c r="BA5" i="5"/>
  <c r="BA3" i="5"/>
  <c r="AD5" i="5"/>
  <c r="AD3" i="5"/>
  <c r="G5" i="5"/>
</calcChain>
</file>

<file path=xl/sharedStrings.xml><?xml version="1.0" encoding="utf-8"?>
<sst xmlns="http://schemas.openxmlformats.org/spreadsheetml/2006/main" count="572" uniqueCount="390">
  <si>
    <t>Accuracy</t>
  </si>
  <si>
    <t>Number of sentences</t>
  </si>
  <si>
    <t>Number of sentences extracted relations</t>
  </si>
  <si>
    <t>Number of sentences not extracted Relationships</t>
  </si>
  <si>
    <t>Number of  Relationships</t>
  </si>
  <si>
    <t>Loss</t>
  </si>
  <si>
    <t>DataSet</t>
  </si>
  <si>
    <t>OIE(benchie)</t>
  </si>
  <si>
    <t>Model</t>
  </si>
  <si>
    <t>BERT Relation Extraction master</t>
  </si>
  <si>
    <t>My Method</t>
  </si>
  <si>
    <t>Graph4nlp</t>
  </si>
  <si>
    <t>Common relationships: 421</t>
  </si>
  <si>
    <t>benchie</t>
  </si>
  <si>
    <t>Common relationships</t>
  </si>
  <si>
    <t>similarity with sentences</t>
  </si>
  <si>
    <t>print lexical</t>
  </si>
  <si>
    <t>Re-OIE2016</t>
  </si>
  <si>
    <t>MyMethod precision: 0.24086992203528929</t>
  </si>
  <si>
    <t>MyMethod recall: 0.6809744779582366</t>
  </si>
  <si>
    <t>MyMethod f1: 0.35586541376174596</t>
  </si>
  <si>
    <t>===============</t>
  </si>
  <si>
    <t>graph4nlp precision: 0.2929824561403509</t>
  </si>
  <si>
    <t>graph4nlp recall: 0.1937354988399072</t>
  </si>
  <si>
    <t>graph4nlp f1: 0.23324022346368717</t>
  </si>
  <si>
    <t>print Slote</t>
  </si>
  <si>
    <t>MyMethod precision: 0.027714033539276258</t>
  </si>
  <si>
    <t>MyMethod recall: 0.09106728538283063</t>
  </si>
  <si>
    <t>MyMethod f1: 0.042495601569901204</t>
  </si>
  <si>
    <t>graph4nlp precision: 0.013357079252003561</t>
  </si>
  <si>
    <t>graph4nlp recall: 0.008700696055684454</t>
  </si>
  <si>
    <t>graph4nlp f1: 0.01053740779768177</t>
  </si>
  <si>
    <t>MyMethod precision: 0.033904291011831185</t>
  </si>
  <si>
    <t>MyMethod recall: 0.11136890951276102</t>
  </si>
  <si>
    <t>MyMethod f1: 0.05198321375389197</t>
  </si>
  <si>
    <t>graph4nlp precision: 0.016918967052537846</t>
  </si>
  <si>
    <t>graph4nlp recall: 0.011020881670533642</t>
  </si>
  <si>
    <t>graph4nlp f1: 0.013347383210396909</t>
  </si>
  <si>
    <t>carb_sentences</t>
  </si>
  <si>
    <t>Common relationships:950</t>
  </si>
  <si>
    <t>print Similarty</t>
  </si>
  <si>
    <t>MyMethod precision: 0.12345151644596326</t>
  </si>
  <si>
    <t>MyMethod recall: 0.9203821656050956</t>
  </si>
  <si>
    <t>MyMethod f1: 0.2177024482109228</t>
  </si>
  <si>
    <t>graph4nlp precision: 0.23595505617977527</t>
  </si>
  <si>
    <t>graph4nlp recall: 0.4012738853503185</t>
  </si>
  <si>
    <t>graph4nlp f1: 0.2971698113207547</t>
  </si>
  <si>
    <t>MyMethod precision: 0.010512264308359753</t>
  </si>
  <si>
    <t>MyMethod recall: 0.10031847133757962</t>
  </si>
  <si>
    <t>MyMethod f1: 0.019030357951971</t>
  </si>
  <si>
    <t>graph4nlp precision: 0.011284722222222222</t>
  </si>
  <si>
    <t>graph4nlp recall: 0.020700636942675158</t>
  </si>
  <si>
    <t>graph4nlp f1: 0.014606741573033709</t>
  </si>
  <si>
    <t>MyMethod precision: 0.015525876460767947</t>
  </si>
  <si>
    <t>MyMethod recall: 0.1480891719745223</t>
  </si>
  <si>
    <t>MyMethod f1: 0.028105167724388036</t>
  </si>
  <si>
    <t>graph4nlp precision: 0.014756944444444444</t>
  </si>
  <si>
    <t>graph4nlp recall: 0.027070063694267517</t>
  </si>
  <si>
    <t>graph4nlp f1: 0.019101123595505618</t>
  </si>
  <si>
    <t>Common relationships:901</t>
  </si>
  <si>
    <t>CDR</t>
  </si>
  <si>
    <t>Common relationships:5802</t>
  </si>
  <si>
    <t>carb</t>
  </si>
  <si>
    <t>Accuracy (F1)</t>
  </si>
  <si>
    <t>7679     7847</t>
  </si>
  <si>
    <t>openie6</t>
  </si>
  <si>
    <t>Multi2OIE</t>
  </si>
  <si>
    <t>imojie</t>
  </si>
  <si>
    <t>CompactIE</t>
  </si>
  <si>
    <t>benchie_fl</t>
  </si>
  <si>
    <t>Re-OIE2016_Original Trible</t>
  </si>
  <si>
    <t>F1</t>
  </si>
  <si>
    <t>reverb</t>
  </si>
  <si>
    <t>clausie</t>
  </si>
  <si>
    <t>minie</t>
  </si>
  <si>
    <t>m2oie</t>
  </si>
  <si>
    <t>compactie</t>
  </si>
  <si>
    <t>MyMethod</t>
  </si>
  <si>
    <t>System</t>
  </si>
  <si>
    <t>precision</t>
  </si>
  <si>
    <t>recall</t>
  </si>
  <si>
    <t>Similarity</t>
  </si>
  <si>
    <t>MyMethod precision: 0.026142193989738577</t>
  </si>
  <si>
    <t>MyMethod precision: 0.026264353774737355</t>
  </si>
  <si>
    <t>MyMethod precision: 0.5116279069767442</t>
  </si>
  <si>
    <t>MyMethod recall: 0.15851851851851853</t>
  </si>
  <si>
    <t>MyMethod recall: 0.15925925925925927</t>
  </si>
  <si>
    <t>MyMethod recall: 0.5641025641025641</t>
  </si>
  <si>
    <t>MyMethod f1: 0.04488255033557047</t>
  </si>
  <si>
    <t>MyMethod f1: 0.04509228187919463</t>
  </si>
  <si>
    <t>MyMethod f1: 0.5365853658536586</t>
  </si>
  <si>
    <t>graph4nlp precision: 0.176056338028169</t>
  </si>
  <si>
    <t>graph4nlp precision: 0.1879432624113475</t>
  </si>
  <si>
    <t>graph4nlp precision: 0.68</t>
  </si>
  <si>
    <t>graph4nlp recall: 0.07407407407407407</t>
  </si>
  <si>
    <t>graph4nlp recall: 0.07851851851851852</t>
  </si>
  <si>
    <t>graph4nlp recall: 0.4358974358974359</t>
  </si>
  <si>
    <t>graph4nlp f1: 0.10427528675703858</t>
  </si>
  <si>
    <t>graph4nlp f1: 0.11076280041797282</t>
  </si>
  <si>
    <t>graph4nlp f1: 0.53125</t>
  </si>
  <si>
    <t>clausie precision: 0.5029154518950437</t>
  </si>
  <si>
    <t>clausie precision: 0.5626822157434402</t>
  </si>
  <si>
    <t>clausie precision: 0.9047619047619048</t>
  </si>
  <si>
    <t>clausie recall: 0.25555555555555554</t>
  </si>
  <si>
    <t>clausie recall: 0.2859259259259259</t>
  </si>
  <si>
    <t>clausie recall: 0.48717948717948717</t>
  </si>
  <si>
    <t>clausie f1: 0.33889980353634575</t>
  </si>
  <si>
    <t>clausie f1: 0.37917485265225936</t>
  </si>
  <si>
    <t>clausie f1: 0.6333333333333333</t>
  </si>
  <si>
    <t>minie precision: 0.4290617848970252</t>
  </si>
  <si>
    <t>minie precision: 0.4452466907340554</t>
  </si>
  <si>
    <t>minie precision: 0.9696969696969697</t>
  </si>
  <si>
    <t>minie recall: 0.2777777777777778</t>
  </si>
  <si>
    <t>minie recall: 0.2740740740740741</t>
  </si>
  <si>
    <t>minie recall: 0.8205128205128205</t>
  </si>
  <si>
    <t>minie f1: 0.33723021582733814</t>
  </si>
  <si>
    <t>minie f1: 0.33929390187987163</t>
  </si>
  <si>
    <t>minie f1: 0.8888888888888888</t>
  </si>
  <si>
    <t>stanford precision: 0.11082070047046524</t>
  </si>
  <si>
    <t>stanford precision: 0.11858125992588671</t>
  </si>
  <si>
    <t>stanford precision: 0.7352941176470589</t>
  </si>
  <si>
    <t>stanford recall: 0.15703703703703703</t>
  </si>
  <si>
    <t>stanford recall: 0.16592592592592592</t>
  </si>
  <si>
    <t>stanford recall: 0.6410256410256411</t>
  </si>
  <si>
    <t>stanford f1: 0.12994177137603433</t>
  </si>
  <si>
    <t>stanford f1: 0.13831429453535043</t>
  </si>
  <si>
    <t>stanford f1: 0.6849315068493151</t>
  </si>
  <si>
    <t>openie6 precision: 0.3110871905274489</t>
  </si>
  <si>
    <t>openie6 precision: 0.41368078175895767</t>
  </si>
  <si>
    <t>openie6 precision: 0.8857142857142857</t>
  </si>
  <si>
    <t>openie6 recall: 0.21407407407407408</t>
  </si>
  <si>
    <t>openie6 recall: 0.2822222222222222</t>
  </si>
  <si>
    <t>openie6 recall: 0.7948717948717948</t>
  </si>
  <si>
    <t>openie6 f1: 0.2536200087757789</t>
  </si>
  <si>
    <t>openie6 f1: 0.3355350066050198</t>
  </si>
  <si>
    <t>openie6 f1: 0.8378378378378378</t>
  </si>
  <si>
    <t>roie_t precision: 0.3732394366197183</t>
  </si>
  <si>
    <t>roie_t precision: 0.40492957746478875</t>
  </si>
  <si>
    <t>roie_t precision: 0.9523809523809523</t>
  </si>
  <si>
    <t>roie_t recall: 0.07851851851851852</t>
  </si>
  <si>
    <t>roie_t recall: 0.08518518518518518</t>
  </si>
  <si>
    <t>roie_t recall: 0.5128205128205128</t>
  </si>
  <si>
    <t>roie_t f1: 0.12974296205630356</t>
  </si>
  <si>
    <t>roie_t f1: 0.14075887392900857</t>
  </si>
  <si>
    <t>roie_t f1: 0.6666666666666666</t>
  </si>
  <si>
    <t>roie_n precision: 0.20287539936102236</t>
  </si>
  <si>
    <t>roie_n precision: 0.2548076923076923</t>
  </si>
  <si>
    <t>roie_n precision: 0.9230769230769231</t>
  </si>
  <si>
    <t>roie_n recall: 0.09407407407407407</t>
  </si>
  <si>
    <t>roie_n recall: 0.11777777777777777</t>
  </si>
  <si>
    <t>roie_n recall: 0.6153846153846154</t>
  </si>
  <si>
    <t>roie_n f1: 0.12854251012145748</t>
  </si>
  <si>
    <t>roie_n f1: 0.16109422492401215</t>
  </si>
  <si>
    <t>roie_n f1: 0.7384615384615384</t>
  </si>
  <si>
    <t>naive precision: 0.03336921420882669</t>
  </si>
  <si>
    <t>naive precision: 0.058823529411764705</t>
  </si>
  <si>
    <t>naive precision: 0.8695652173913043</t>
  </si>
  <si>
    <t>naive recall: 0.022962962962962963</t>
  </si>
  <si>
    <t>naive recall: 0.03777777777777778</t>
  </si>
  <si>
    <t>naive recall: 0.5128205128205128</t>
  </si>
  <si>
    <t>naive f1: 0.02720491443615621</t>
  </si>
  <si>
    <t>naive f1: 0.046008119079837616</t>
  </si>
  <si>
    <t>naive f1: 0.6451612903225806</t>
  </si>
  <si>
    <t>m2oie_en precision: 0.3924050632911392</t>
  </si>
  <si>
    <t>m2oie_en precision: 0.48188405797101447</t>
  </si>
  <si>
    <t>m2oie_en precision: 0.9285714285714286</t>
  </si>
  <si>
    <t>m2oie_en recall: 0.16074074074074074</t>
  </si>
  <si>
    <t>m2oie_en recall: 0.19703703703703704</t>
  </si>
  <si>
    <t>m2oie_en recall: 0.6666666666666666</t>
  </si>
  <si>
    <t>m2oie_en f1: 0.2280609563846558</t>
  </si>
  <si>
    <t>m2oie_en f1: 0.2797055730809674</t>
  </si>
  <si>
    <t>m2oie_en f1: 0.7761194029850746</t>
  </si>
  <si>
    <t xml:space="preserve">  "architectures": [</t>
  </si>
  <si>
    <t xml:space="preserve">    "BertForMaskedLM"</t>
  </si>
  <si>
    <t xml:space="preserve">  ]</t>
  </si>
  <si>
    <t xml:space="preserve">  "attention_probs_dropout_prob": 0.1</t>
  </si>
  <si>
    <t xml:space="preserve">  "finetuning_task": null</t>
  </si>
  <si>
    <t xml:space="preserve">  "hidden_act": "gelu"</t>
  </si>
  <si>
    <t xml:space="preserve">  "hidden_dropout_prob": 0.1</t>
  </si>
  <si>
    <t xml:space="preserve">  "initializer_range": 0.02</t>
  </si>
  <si>
    <t xml:space="preserve">  "is_decoder": false</t>
  </si>
  <si>
    <t xml:space="preserve">  "layer_norm_eps": 1e-12</t>
  </si>
  <si>
    <t xml:space="preserve">  "max_position_embeddings": 512</t>
  </si>
  <si>
    <t xml:space="preserve">  "model_type": "bert"</t>
  </si>
  <si>
    <t xml:space="preserve">  "num_labels": 2</t>
  </si>
  <si>
    <t xml:space="preserve">  "output_attentions": false</t>
  </si>
  <si>
    <t xml:space="preserve">  "output_hidden_states": false</t>
  </si>
  <si>
    <t xml:space="preserve">  "output_past": true</t>
  </si>
  <si>
    <t xml:space="preserve">  "pad_token_id": 0</t>
  </si>
  <si>
    <t xml:space="preserve">  "pruned_heads": {}</t>
  </si>
  <si>
    <t xml:space="preserve">  "torchscript": false</t>
  </si>
  <si>
    <t xml:space="preserve">  "type_vocab_size": 2</t>
  </si>
  <si>
    <t xml:space="preserve">  "use_bfloat16": false</t>
  </si>
  <si>
    <t xml:space="preserve">  "vocab_size": 30522</t>
  </si>
  <si>
    <t>}</t>
  </si>
  <si>
    <t>benchie (2022)</t>
  </si>
  <si>
    <t>benchie_fl (2024)</t>
  </si>
  <si>
    <t>That</t>
  </si>
  <si>
    <t>compared</t>
  </si>
  <si>
    <t xml:space="preserve"> compared with</t>
  </si>
  <si>
    <t>an operating loss</t>
  </si>
  <si>
    <t>an operating loss of</t>
  </si>
  <si>
    <t>1.9million</t>
  </si>
  <si>
    <t>an operating loss on</t>
  </si>
  <si>
    <t>sales</t>
  </si>
  <si>
    <t>sales of</t>
  </si>
  <si>
    <t>27.4million</t>
  </si>
  <si>
    <t>sales in</t>
  </si>
  <si>
    <t>the year-earlier period</t>
  </si>
  <si>
    <t>compared with</t>
  </si>
  <si>
    <t xml:space="preserve"> an operating loss of $</t>
  </si>
  <si>
    <t>in</t>
  </si>
  <si>
    <t>on</t>
  </si>
  <si>
    <t>of $ 27.4million in the year-earlier period</t>
  </si>
  <si>
    <t xml:space="preserve"> sales in</t>
  </si>
  <si>
    <t>That compared with an operating loss of $ 1.9 million on sales of $ 27.4 million in the year - earlier period .</t>
  </si>
  <si>
    <t>Model config:  {</t>
  </si>
  <si>
    <t xml:space="preserve">  "hidden_size": 768</t>
  </si>
  <si>
    <t xml:space="preserve">  "intermediate_size": 3072</t>
  </si>
  <si>
    <t xml:space="preserve">  "num_attention_heads": 12</t>
  </si>
  <si>
    <t xml:space="preserve">  "num_hidden_layers": 12</t>
  </si>
  <si>
    <t xml:space="preserve">Imijio  </t>
  </si>
  <si>
    <t>with an operating loss of $ 1.9 million on sales of $ 27.4 million in the year - earlier period</t>
  </si>
  <si>
    <t>with an operating loss of $ 1.9 million on sales of $ 27.4 million in the year</t>
  </si>
  <si>
    <t>openIE6</t>
  </si>
  <si>
    <t>That in the year earlier period</t>
  </si>
  <si>
    <t>be compared</t>
  </si>
  <si>
    <t>with an operating loss of $ 1.9 million on sales of $ 27.4 million</t>
  </si>
  <si>
    <t>109--&gt; Cluster 1:</t>
  </si>
  <si>
    <t>That --&gt; compared with --&gt; [an] operating loss</t>
  </si>
  <si>
    <t>That --&gt; compared --&gt; with [an] operating loss</t>
  </si>
  <si>
    <t>That --&gt; compared --&gt; with [an] operating loss [of $ 1.9 million] in [the] year-earlier period</t>
  </si>
  <si>
    <t>That --&gt; compared with --&gt; [an] operating loss [of $ 1.9 million] in [the] year-earlier period</t>
  </si>
  <si>
    <t>That --&gt; compared --&gt; with [an] operating loss [of $ 1.9 million] in [the] year [-] earlier period</t>
  </si>
  <si>
    <t>That --&gt; compared with --&gt; [an] operating loss [of $ 1.9 million] in [the] year [-] earlier period</t>
  </si>
  <si>
    <t>That --&gt; compared --&gt; with [an] operating loss [of $ 1.9 million] on sales [of $ 27.4 million] in [the] year-earlier period</t>
  </si>
  <si>
    <t>That --&gt; compared with --&gt; [an] operating loss [of $ 1.9 million] on sales [of $ 27.4 million] in [the] year-earlier period</t>
  </si>
  <si>
    <t>That --&gt; compared --&gt; with [an] operating loss [of $ 1.9 million] on sales [of $ 27.4 million] in [the] year [-] earlier period</t>
  </si>
  <si>
    <t>That --&gt; compared with --&gt; [an] operating loss [of $ 1.9 million] on sales [of $ 27.4 million] in [the] year [-] earlier period</t>
  </si>
  <si>
    <t>That --&gt; compared --&gt; with [an] operating loss [of $ 1.9 million] on sales [of $ 27.4 million]</t>
  </si>
  <si>
    <t>That --&gt; compared with --&gt; [an] operating loss [of $ 1.9 million] on sales [of $ 27.4 million]</t>
  </si>
  <si>
    <t>That --&gt; compared --&gt; with [an] operating loss of $ 1.9 million</t>
  </si>
  <si>
    <t>That --&gt; compared with --&gt; [an] operating loss of $ 1.9 million</t>
  </si>
  <si>
    <t>109--&gt; Cluster 2:</t>
  </si>
  <si>
    <t>That --&gt; compared with [an] operating loss [of $ 1.9 million] in --&gt; [the] year-earlier period</t>
  </si>
  <si>
    <t>That --&gt; compared with [an] operating loss [of $ 1.9 million] --&gt; in [the] year-earlier period</t>
  </si>
  <si>
    <t>That --&gt; compared with [an] operating loss [of $ 1.9 million] [on sales] in --&gt; [the] year-earlier period</t>
  </si>
  <si>
    <t>That --&gt; compared with [an] operating loss [of $ 1.9 million] [on sales] --&gt; in [the] year-earlier period</t>
  </si>
  <si>
    <t>That --&gt; compared with [an] operating loss [of $ 1.9 million] [on sales of $ 27.4 million] in --&gt; [the] year-earlier period</t>
  </si>
  <si>
    <t>That --&gt; compared with [an] operating loss [of $ 1.9 million] [on sales of $ 27.4 million] --&gt; in [the] year-earlier period</t>
  </si>
  <si>
    <t>That --&gt; compared with [an] operating loss [of $ 1.9 million] in --&gt; [the] year - earlier period</t>
  </si>
  <si>
    <t>That --&gt; compared with [an] operating loss [of $ 1.9 million] --&gt; in [the] year - earlier period</t>
  </si>
  <si>
    <t>That --&gt; compared with [an] operating loss [of $ 1.9 million] [on sales] in --&gt; [the] year [-] earlier period</t>
  </si>
  <si>
    <t>That --&gt; compared with [an] operating loss [of $ 1.9 million] [on sales] --&gt; in [the] year [-] earlier period</t>
  </si>
  <si>
    <t>That --&gt; compared with [an] operating loss [of $ 1.9 million] [on sales of $ 27.4 million] in --&gt; [the] year [-] earlier period</t>
  </si>
  <si>
    <t>That --&gt; compared with [an] operating loss [of $ 1.9 million] [on sales of $ 27.4 million] --&gt; in [the] year [-] earlier period</t>
  </si>
  <si>
    <t>109--&gt; Cluster 3:</t>
  </si>
  <si>
    <t>That --&gt; compared with [an] operating loss [of $ 1.9 million] on --&gt; sales [of $ 27.4 million]</t>
  </si>
  <si>
    <t>That --&gt; compared with [an] operating loss [of $ 1.9 million] --&gt; on sales [of $ 27.4 million]</t>
  </si>
  <si>
    <t>109--&gt; Cluster 4:</t>
  </si>
  <si>
    <t>That --&gt; compared with [an] operating loss of --&gt; $ 1.9 million</t>
  </si>
  <si>
    <t>That --&gt; compared with [an] operating loss --&gt; of $ 1.9 million</t>
  </si>
  <si>
    <t>benchie(2022)</t>
  </si>
  <si>
    <t>openie6 (2020)</t>
  </si>
  <si>
    <t>f1:54.0_35.7</t>
  </si>
  <si>
    <t>F1:53.5_33.3</t>
  </si>
  <si>
    <t xml:space="preserve"> Best :0.7432432  (Epcho13)</t>
  </si>
  <si>
    <t xml:space="preserve">  Best :0.6798008  (Epcho20)</t>
  </si>
  <si>
    <t xml:space="preserve"> Best : 0.525033519553073 (Epcho 3)</t>
  </si>
  <si>
    <t>0.8153809 (Epcho 13)</t>
  </si>
  <si>
    <t>1.701424 (Epcho 20)</t>
  </si>
  <si>
    <t>2.22510674157303  (Epcho 3)</t>
  </si>
  <si>
    <t>CompactIE (2022)</t>
  </si>
  <si>
    <t>MinIE</t>
  </si>
  <si>
    <t>IMoJIE</t>
  </si>
  <si>
    <t>OpenIE6</t>
  </si>
  <si>
    <t>COMPACTIE</t>
  </si>
  <si>
    <t>Performances</t>
  </si>
  <si>
    <t>of</t>
  </si>
  <si>
    <t>OpenIE</t>
  </si>
  <si>
    <t>systems</t>
  </si>
  <si>
    <t>the</t>
  </si>
  <si>
    <t>BenchIE</t>
  </si>
  <si>
    <t>dataset.</t>
  </si>
  <si>
    <t>p</t>
  </si>
  <si>
    <t>r</t>
  </si>
  <si>
    <t>f</t>
  </si>
  <si>
    <t>f1:45</t>
  </si>
  <si>
    <t>6928                                                8652</t>
  </si>
  <si>
    <t>My Method_with_originalData</t>
  </si>
  <si>
    <t>wire 75</t>
  </si>
  <si>
    <t>Wire57</t>
  </si>
  <si>
    <t>Original Dataset</t>
  </si>
  <si>
    <t>Original Triples</t>
  </si>
  <si>
    <t>wire57</t>
  </si>
  <si>
    <t>NestIE</t>
  </si>
  <si>
    <t>ImojIE</t>
  </si>
  <si>
    <t>P</t>
  </si>
  <si>
    <t>R</t>
  </si>
  <si>
    <t>ACL</t>
  </si>
  <si>
    <t>NCC</t>
  </si>
  <si>
    <t>RPA</t>
  </si>
  <si>
    <t>wire</t>
  </si>
  <si>
    <t xml:space="preserve">of </t>
  </si>
  <si>
    <t xml:space="preserve"> $ 1.9million</t>
  </si>
  <si>
    <t xml:space="preserve"> $ 27.4million</t>
  </si>
  <si>
    <t>0.6552381 Epcho(18)</t>
  </si>
  <si>
    <t>3.0820263 Epcho(18)</t>
  </si>
  <si>
    <t>Average Constituent Length (ACL): 50.26023562346903</t>
  </si>
  <si>
    <t>Number of Constituent Clauses (NCC): 2.264318208328473</t>
  </si>
  <si>
    <t>Repetitions Per Argument (RPA): 71.03664921465969</t>
  </si>
  <si>
    <t>mymethod</t>
  </si>
  <si>
    <t>Average Constituent Length (ACL): 41.59855334538879</t>
  </si>
  <si>
    <t>Number of Constituent Clauses (NCC): 1.9270644966847499</t>
  </si>
  <si>
    <t>Repetitions Per Argument (RPA): 41.919809448193725</t>
  </si>
  <si>
    <t>0.6256146 (19)</t>
  </si>
  <si>
    <t>3.2511247 (18)</t>
  </si>
  <si>
    <t>imojie(2020)</t>
  </si>
  <si>
    <t>imojie (2020)</t>
  </si>
  <si>
    <t>miniepy (2017)</t>
  </si>
  <si>
    <t>Multi2OIE(2020)</t>
  </si>
  <si>
    <t>Multi2OIE(ours) 74.6 83.9 86.9 81.0 32.6 52.3 60.9 45.8</t>
  </si>
  <si>
    <t xml:space="preserve"> AUC F1 PREC. REC. AUC F1 PREC. REC.</t>
  </si>
  <si>
    <t>Re-OIE2016 CaRB</t>
  </si>
  <si>
    <t>nEpoch finished, took 10388.48 seconds.</t>
  </si>
  <si>
    <t>nEpoch finished, took 10373.55 seconds.</t>
  </si>
  <si>
    <t>nEpoch finished, took 10071.92 seconds.</t>
  </si>
  <si>
    <t>nEpoch finished, took 9912.14 seconds.</t>
  </si>
  <si>
    <t>nEpoch finished, took 10042.60 seconds.</t>
  </si>
  <si>
    <t>nEpoch finished, took 9958.21 seconds.</t>
  </si>
  <si>
    <t>nEpoch finished, took 10037.78 seconds.</t>
  </si>
  <si>
    <t>nEpoch finished, took 10142.45 seconds.</t>
  </si>
  <si>
    <t>nEpoch finished, took 10256.33 seconds.</t>
  </si>
  <si>
    <t>nEpoch finished, took 10269.41 seconds.</t>
  </si>
  <si>
    <t>nEpoch finished, took 10243.89 seconds.</t>
  </si>
  <si>
    <t>nEpoch finished, took 248815.77 seconds.</t>
  </si>
  <si>
    <t>nEpoch finished, took 10288.48 seconds.</t>
  </si>
  <si>
    <t>nEpoch finished, took 78307.80 seconds.</t>
  </si>
  <si>
    <t>nEpoch finished, took 10341.67 seconds.</t>
  </si>
  <si>
    <t>nAccuracy at Epoch 1</t>
  </si>
  <si>
    <t>nAccuracy at Epoch 2</t>
  </si>
  <si>
    <t>nAccuracy at Epoch 3</t>
  </si>
  <si>
    <t>nAccuracy at Epoch 4</t>
  </si>
  <si>
    <t>nAccuracy at Epoch 5</t>
  </si>
  <si>
    <t>nAccuracy at Epoch 6</t>
  </si>
  <si>
    <t>nAccuracy at Epoch 7</t>
  </si>
  <si>
    <t>nAccuracy at Epoch 8</t>
  </si>
  <si>
    <t>nAccuracy at Epoch 9</t>
  </si>
  <si>
    <t>nAccuracy at Epoch 10</t>
  </si>
  <si>
    <t>nAccuracy at Epoch 11</t>
  </si>
  <si>
    <t>nAccuracy at Epoch 12</t>
  </si>
  <si>
    <t>nAccuracy at Epoch 13</t>
  </si>
  <si>
    <t>nAccuracy at Epoch 14</t>
  </si>
  <si>
    <t>nAccuracy at Epoch 15</t>
  </si>
  <si>
    <t>nLosses at Epoch 1</t>
  </si>
  <si>
    <t>nLosses at Epoch 2</t>
  </si>
  <si>
    <t>nLosses at Epoch 3</t>
  </si>
  <si>
    <t>nLosses at Epoch 4</t>
  </si>
  <si>
    <t>nLosses at Epoch 5</t>
  </si>
  <si>
    <t>nLosses at Epoch 6</t>
  </si>
  <si>
    <t>nLosses at Epoch 7</t>
  </si>
  <si>
    <t>nLosses at Epoch 8</t>
  </si>
  <si>
    <t>nLosses at Epoch 9</t>
  </si>
  <si>
    <t>nLosses at Epoch 10</t>
  </si>
  <si>
    <t>nLosses at Epoch 11</t>
  </si>
  <si>
    <t>nLosses at Epoch 12</t>
  </si>
  <si>
    <t>nLosses at Epoch 13</t>
  </si>
  <si>
    <t>nLosses at Epoch 14</t>
  </si>
  <si>
    <t>nLosses at Epoch 15</t>
  </si>
  <si>
    <t>nEpoch finished, took 9089.08 seconds.</t>
  </si>
  <si>
    <t>nEpoch finished, took 246329.63 seconds.</t>
  </si>
  <si>
    <t>nEpoch finished, took 9184.12 seconds.</t>
  </si>
  <si>
    <t>nEpoch finished, took 9080.85 seconds.</t>
  </si>
  <si>
    <t>nEpoch finished, took 8961.93 seconds.</t>
  </si>
  <si>
    <t>nEpoch finished, took 8847.13 seconds.</t>
  </si>
  <si>
    <t>nEpoch finished, took 8585.86 seconds.</t>
  </si>
  <si>
    <t>nEpoch finished, took 8567.60 seconds.</t>
  </si>
  <si>
    <t>nEpoch finished, took 8591.96 seconds.</t>
  </si>
  <si>
    <t>nEpoch finished, took 8581.34 seconds.</t>
  </si>
  <si>
    <t>nEpoch finished, took 8544.19 seconds.</t>
  </si>
  <si>
    <t>nEpoch finished, took 8568.37 seconds.</t>
  </si>
  <si>
    <t>nEpoch finished, took 8590.19 seconds.</t>
  </si>
  <si>
    <t>nEpoch finished, took 8863.81 seconds.</t>
  </si>
  <si>
    <t>nEpoch finished, took 9084.44 seconds.</t>
  </si>
  <si>
    <t>nEpoch finished, took 73536.07 seconds.</t>
  </si>
  <si>
    <t>nEpoch finished, took 9428.31 seconds.</t>
  </si>
  <si>
    <t>nLosses at Epoch 16</t>
  </si>
  <si>
    <t>nLosses at Epoch 17</t>
  </si>
  <si>
    <t>nAccuracy at Epoch 16</t>
  </si>
  <si>
    <t>nAccuracy at Epoch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</si>
</sst>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2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20" fontId="0" fillId="0" borderId="0" xfId="0" applyNumberFormat="1"/>
    <xf numFmtId="0" fontId="5" fillId="3" borderId="0" xfId="0" applyFont="1" applyFill="1" applyAlignment="1">
      <alignment horizontal="center" vertical="center"/>
    </xf>
    <xf numFmtId="0" fontId="5" fillId="3" borderId="0" xfId="0" applyFont="1" applyFill="1"/>
    <xf numFmtId="0" fontId="0" fillId="3" borderId="0" xfId="0" applyFill="1" applyAlignment="1">
      <alignment horizontal="center" vertical="center"/>
    </xf>
    <xf numFmtId="0" fontId="0" fillId="3" borderId="0" xfId="0" applyFill="1"/>
    <xf numFmtId="47" fontId="0" fillId="0" borderId="0" xfId="0" applyNumberFormat="1"/>
    <xf numFmtId="0" fontId="0" fillId="0" borderId="9" xfId="0" applyBorder="1"/>
    <xf numFmtId="0" fontId="2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DEA7-61A1-42CC-A14F-7F6B1FC40BB3}">
  <dimension ref="A1:AF50"/>
  <sheetViews>
    <sheetView workbookViewId="0">
      <selection activeCell="A3" sqref="A3:A12"/>
    </sheetView>
  </sheetViews>
  <sheetFormatPr defaultRowHeight="15" x14ac:dyDescent="0.25"/>
  <cols>
    <col min="1" max="1" width="49.7109375" bestFit="1" customWidth="1"/>
    <col min="2" max="2" width="11" bestFit="1" customWidth="1"/>
    <col min="3" max="3" width="13.5703125" bestFit="1" customWidth="1"/>
    <col min="4" max="4" width="10.7109375" customWidth="1"/>
    <col min="5" max="5" width="7.5703125" customWidth="1"/>
    <col min="6" max="6" width="9.7109375" customWidth="1"/>
    <col min="7" max="7" width="12" bestFit="1" customWidth="1"/>
    <col min="8" max="8" width="9" customWidth="1"/>
    <col min="9" max="9" width="12.140625" customWidth="1"/>
    <col min="10" max="10" width="11.42578125" customWidth="1"/>
    <col min="11" max="11" width="8.28515625" customWidth="1"/>
    <col min="13" max="13" width="12.5703125" bestFit="1" customWidth="1"/>
    <col min="14" max="14" width="12" bestFit="1" customWidth="1"/>
    <col min="15" max="15" width="11" bestFit="1" customWidth="1"/>
    <col min="16" max="16" width="11" customWidth="1"/>
    <col min="17" max="17" width="12" bestFit="1" customWidth="1"/>
    <col min="18" max="18" width="12" customWidth="1"/>
    <col min="19" max="19" width="12.5703125" bestFit="1" customWidth="1"/>
    <col min="20" max="20" width="11" bestFit="1" customWidth="1"/>
    <col min="21" max="21" width="8.28515625" customWidth="1"/>
    <col min="22" max="23" width="14.42578125" customWidth="1"/>
    <col min="27" max="27" width="6" bestFit="1" customWidth="1"/>
    <col min="28" max="28" width="6" customWidth="1"/>
    <col min="29" max="29" width="12.5703125" bestFit="1" customWidth="1"/>
    <col min="30" max="30" width="11" bestFit="1" customWidth="1"/>
    <col min="31" max="31" width="4.7109375" bestFit="1" customWidth="1"/>
    <col min="32" max="32" width="5" bestFit="1" customWidth="1"/>
  </cols>
  <sheetData>
    <row r="1" spans="1:32" ht="16.5" thickBot="1" x14ac:dyDescent="0.3">
      <c r="A1" s="15"/>
      <c r="B1" s="31" t="s">
        <v>63</v>
      </c>
      <c r="C1" s="32"/>
      <c r="D1" s="32"/>
      <c r="E1" s="32"/>
      <c r="F1" s="32"/>
      <c r="G1" s="32"/>
      <c r="H1" s="32"/>
      <c r="I1" s="32"/>
      <c r="J1" s="32"/>
      <c r="K1" s="33"/>
      <c r="M1" s="21" t="s">
        <v>2</v>
      </c>
      <c r="N1" s="22"/>
      <c r="O1" s="22"/>
      <c r="P1" s="22"/>
      <c r="Q1" s="23"/>
      <c r="R1" s="26" t="s">
        <v>3</v>
      </c>
      <c r="S1" s="27"/>
      <c r="T1" s="27"/>
      <c r="U1" s="27"/>
      <c r="V1" s="28"/>
      <c r="W1" s="21" t="s">
        <v>4</v>
      </c>
      <c r="X1" s="22"/>
      <c r="Y1" s="22"/>
      <c r="Z1" s="22"/>
      <c r="AA1" s="23"/>
      <c r="AB1" s="21" t="s">
        <v>14</v>
      </c>
      <c r="AC1" s="22"/>
      <c r="AD1" s="22"/>
      <c r="AE1" s="22"/>
      <c r="AF1" s="23"/>
    </row>
    <row r="2" spans="1:32" ht="15.75" thickBot="1" x14ac:dyDescent="0.3">
      <c r="A2" s="6"/>
      <c r="B2" s="34" t="s">
        <v>290</v>
      </c>
      <c r="C2" s="35"/>
      <c r="D2" s="29" t="s">
        <v>7</v>
      </c>
      <c r="E2" s="30"/>
      <c r="F2" s="29" t="s">
        <v>17</v>
      </c>
      <c r="G2" s="30"/>
      <c r="H2" s="29" t="s">
        <v>62</v>
      </c>
      <c r="I2" s="30"/>
      <c r="J2" s="29" t="s">
        <v>60</v>
      </c>
      <c r="K2" s="30"/>
      <c r="M2" s="6" t="s">
        <v>7</v>
      </c>
      <c r="N2" s="6" t="s">
        <v>17</v>
      </c>
      <c r="O2" s="6" t="s">
        <v>62</v>
      </c>
      <c r="P2" s="6" t="s">
        <v>291</v>
      </c>
      <c r="Q2" s="6" t="s">
        <v>60</v>
      </c>
      <c r="R2" s="6" t="s">
        <v>291</v>
      </c>
      <c r="S2" s="6" t="s">
        <v>7</v>
      </c>
      <c r="T2" s="6" t="s">
        <v>17</v>
      </c>
      <c r="U2" s="6" t="s">
        <v>62</v>
      </c>
      <c r="V2" s="6" t="s">
        <v>60</v>
      </c>
      <c r="W2" s="6" t="s">
        <v>291</v>
      </c>
      <c r="X2" s="6" t="s">
        <v>7</v>
      </c>
      <c r="Y2" s="6" t="s">
        <v>17</v>
      </c>
      <c r="Z2" s="6" t="s">
        <v>62</v>
      </c>
      <c r="AA2" s="6" t="s">
        <v>60</v>
      </c>
      <c r="AB2" s="6" t="s">
        <v>302</v>
      </c>
      <c r="AC2" s="6" t="s">
        <v>7</v>
      </c>
      <c r="AD2" s="6" t="s">
        <v>17</v>
      </c>
      <c r="AE2" s="6" t="s">
        <v>62</v>
      </c>
      <c r="AF2" s="6" t="s">
        <v>60</v>
      </c>
    </row>
    <row r="3" spans="1:32" ht="15.75" thickBot="1" x14ac:dyDescent="0.3">
      <c r="A3" s="6" t="s">
        <v>10</v>
      </c>
      <c r="B3" s="6">
        <v>0.41259425999999999</v>
      </c>
      <c r="C3" s="6" t="s">
        <v>315</v>
      </c>
      <c r="D3" s="6" t="s">
        <v>266</v>
      </c>
      <c r="E3" s="6">
        <v>0.66634570000000004</v>
      </c>
      <c r="F3" s="1" t="s">
        <v>306</v>
      </c>
      <c r="G3" s="1">
        <v>0.51396047999999994</v>
      </c>
      <c r="H3" s="6" t="s">
        <v>267</v>
      </c>
      <c r="I3" s="6">
        <v>0.54460643999999991</v>
      </c>
      <c r="J3" s="6" t="s">
        <v>268</v>
      </c>
      <c r="K3" s="6">
        <v>0.43113680651769098</v>
      </c>
      <c r="M3" s="6">
        <v>300</v>
      </c>
      <c r="N3" s="6">
        <v>591</v>
      </c>
      <c r="O3" s="6">
        <v>641</v>
      </c>
      <c r="P3" s="6">
        <v>56</v>
      </c>
      <c r="Q3" s="6">
        <v>500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675</v>
      </c>
      <c r="X3" s="6">
        <v>3505</v>
      </c>
      <c r="Y3" s="6">
        <v>6928</v>
      </c>
      <c r="Z3" s="6">
        <v>7679</v>
      </c>
      <c r="AA3" s="6">
        <v>48144</v>
      </c>
      <c r="AB3" s="24">
        <v>79</v>
      </c>
      <c r="AC3" s="24">
        <v>421</v>
      </c>
      <c r="AD3" s="24">
        <v>873</v>
      </c>
      <c r="AE3" s="24">
        <v>950</v>
      </c>
      <c r="AF3" s="24">
        <v>5802</v>
      </c>
    </row>
    <row r="4" spans="1:32" ht="15.75" thickBot="1" x14ac:dyDescent="0.3">
      <c r="A4" s="6" t="s">
        <v>11</v>
      </c>
      <c r="B4" s="6"/>
      <c r="C4" s="6"/>
      <c r="D4" s="6"/>
      <c r="E4" s="6"/>
      <c r="F4" s="6"/>
      <c r="H4" s="6"/>
      <c r="I4" s="6"/>
      <c r="J4" s="6"/>
      <c r="K4" s="6"/>
      <c r="M4" s="6">
        <v>244</v>
      </c>
      <c r="N4" s="6">
        <v>480</v>
      </c>
      <c r="O4" s="6">
        <v>521</v>
      </c>
      <c r="P4" s="6">
        <v>49</v>
      </c>
      <c r="Q4" s="6">
        <v>499</v>
      </c>
      <c r="R4" s="6">
        <v>8</v>
      </c>
      <c r="S4" s="6">
        <v>56</v>
      </c>
      <c r="T4" s="6">
        <v>111</v>
      </c>
      <c r="U4" s="6">
        <v>120</v>
      </c>
      <c r="V4" s="6">
        <v>1</v>
      </c>
      <c r="W4" s="6">
        <v>102</v>
      </c>
      <c r="X4" s="6">
        <v>545</v>
      </c>
      <c r="Y4" s="6">
        <v>1163</v>
      </c>
      <c r="Z4" s="6">
        <v>1217</v>
      </c>
      <c r="AA4" s="6">
        <v>6705</v>
      </c>
      <c r="AB4" s="25"/>
      <c r="AC4" s="25"/>
      <c r="AD4" s="25"/>
      <c r="AE4" s="25"/>
      <c r="AF4" s="25"/>
    </row>
    <row r="5" spans="1:32" ht="15.75" thickBot="1" x14ac:dyDescent="0.3">
      <c r="A5" s="6" t="s">
        <v>9</v>
      </c>
      <c r="B5" s="6"/>
      <c r="C5" s="6"/>
      <c r="D5" s="6"/>
      <c r="E5" s="6">
        <v>0.88291350499999999</v>
      </c>
      <c r="F5" s="6"/>
      <c r="G5" s="6">
        <v>0.9036632750000001</v>
      </c>
      <c r="H5" s="6"/>
      <c r="I5" s="6">
        <v>0.91174302500000004</v>
      </c>
      <c r="J5" s="6"/>
      <c r="K5" s="6">
        <v>0.87620737000000004</v>
      </c>
      <c r="M5" s="6">
        <v>152</v>
      </c>
      <c r="N5" s="6">
        <v>311</v>
      </c>
      <c r="O5" s="6">
        <v>334</v>
      </c>
      <c r="P5" s="6"/>
      <c r="Q5" s="6">
        <v>329</v>
      </c>
      <c r="R5" s="6"/>
      <c r="S5" s="6">
        <v>148</v>
      </c>
      <c r="T5" s="6">
        <v>280</v>
      </c>
      <c r="U5" s="6">
        <v>307</v>
      </c>
      <c r="V5" s="6">
        <v>171</v>
      </c>
      <c r="W5" s="6"/>
      <c r="X5" s="6">
        <v>548</v>
      </c>
      <c r="Y5" s="6">
        <v>1224</v>
      </c>
      <c r="Z5" s="6">
        <v>1306</v>
      </c>
      <c r="AA5" s="6">
        <v>1586</v>
      </c>
      <c r="AB5" s="6"/>
      <c r="AC5" s="6"/>
      <c r="AD5" s="6"/>
      <c r="AE5" s="6"/>
      <c r="AF5" s="6"/>
    </row>
    <row r="6" spans="1:32" ht="15.75" thickBot="1" x14ac:dyDescent="0.3">
      <c r="A6" s="6" t="s">
        <v>195</v>
      </c>
      <c r="B6" s="6"/>
      <c r="C6" s="6"/>
      <c r="D6" s="6"/>
      <c r="E6" s="6"/>
      <c r="F6" s="6"/>
      <c r="G6" s="6"/>
      <c r="H6" s="6"/>
      <c r="I6" s="6"/>
      <c r="J6" s="6"/>
      <c r="K6" s="6"/>
      <c r="M6" s="6">
        <v>296</v>
      </c>
      <c r="N6" s="6"/>
      <c r="O6" s="6"/>
      <c r="P6" s="6"/>
      <c r="Q6" s="6"/>
      <c r="R6" s="6"/>
      <c r="S6" s="6">
        <v>4</v>
      </c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1:32" ht="15.75" thickBot="1" x14ac:dyDescent="0.3">
      <c r="A7" s="6" t="s">
        <v>196</v>
      </c>
      <c r="B7" s="6"/>
      <c r="C7" s="6"/>
      <c r="D7" s="6"/>
      <c r="E7" s="6"/>
      <c r="F7" s="6"/>
      <c r="G7" s="6"/>
      <c r="H7" s="6"/>
      <c r="I7" s="6"/>
      <c r="J7" s="6"/>
      <c r="K7" s="6"/>
      <c r="M7" s="6">
        <v>299</v>
      </c>
      <c r="N7" s="6"/>
      <c r="O7" s="6"/>
      <c r="P7" s="6"/>
      <c r="Q7" s="6"/>
      <c r="R7" s="6"/>
      <c r="S7" s="6">
        <v>1</v>
      </c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</row>
    <row r="8" spans="1:32" ht="15.75" thickBot="1" x14ac:dyDescent="0.3">
      <c r="A8" s="6" t="s">
        <v>263</v>
      </c>
      <c r="B8" s="6"/>
      <c r="C8" s="6"/>
      <c r="D8" s="6"/>
      <c r="E8" s="6"/>
      <c r="F8" s="6"/>
      <c r="G8" s="6"/>
      <c r="H8" s="6"/>
      <c r="I8" s="6" t="s">
        <v>264</v>
      </c>
      <c r="J8" s="6"/>
      <c r="K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>
        <v>1531</v>
      </c>
      <c r="AA8" s="6"/>
      <c r="AB8" s="6"/>
      <c r="AC8" s="6"/>
      <c r="AD8" s="6"/>
      <c r="AE8" s="6"/>
      <c r="AF8" s="6"/>
    </row>
    <row r="9" spans="1:32" ht="15.75" thickBot="1" x14ac:dyDescent="0.3">
      <c r="A9" s="6" t="s">
        <v>320</v>
      </c>
      <c r="B9" s="6"/>
      <c r="C9" s="6"/>
      <c r="D9" s="6"/>
      <c r="E9" s="6"/>
      <c r="F9" s="6"/>
      <c r="G9" s="6"/>
      <c r="H9" s="6"/>
      <c r="I9" s="6"/>
      <c r="J9" s="6"/>
      <c r="K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 spans="1:32" ht="15.75" thickBot="1" x14ac:dyDescent="0.3">
      <c r="A10" s="6" t="s">
        <v>319</v>
      </c>
      <c r="B10" s="6"/>
      <c r="C10" s="6"/>
      <c r="D10" s="6"/>
      <c r="E10" s="6"/>
      <c r="F10" s="6"/>
      <c r="G10" s="6"/>
      <c r="H10" s="6"/>
      <c r="I10" s="6"/>
      <c r="J10" s="6"/>
      <c r="K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 spans="1:32" ht="15.75" thickBot="1" x14ac:dyDescent="0.3">
      <c r="A11" s="6" t="s">
        <v>318</v>
      </c>
      <c r="B11" s="6"/>
      <c r="C11" s="6"/>
      <c r="D11" s="6"/>
      <c r="E11" s="6"/>
      <c r="F11" s="6"/>
      <c r="G11" s="6"/>
      <c r="H11" s="6"/>
      <c r="I11" s="6" t="s">
        <v>265</v>
      </c>
      <c r="J11" s="6"/>
      <c r="K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>
        <v>1354</v>
      </c>
      <c r="AA11" s="6"/>
      <c r="AB11" s="6"/>
      <c r="AC11" s="6"/>
      <c r="AD11" s="6"/>
      <c r="AE11" s="6"/>
      <c r="AF11" s="6"/>
    </row>
    <row r="12" spans="1:32" ht="15.75" thickBot="1" x14ac:dyDescent="0.3">
      <c r="A12" s="6" t="s">
        <v>272</v>
      </c>
      <c r="B12" s="6"/>
      <c r="C12" s="6"/>
      <c r="D12" s="6"/>
      <c r="E12" s="6"/>
      <c r="F12" s="6"/>
      <c r="G12" s="6"/>
      <c r="H12" s="6"/>
      <c r="I12" s="6" t="s">
        <v>287</v>
      </c>
      <c r="J12" s="6"/>
      <c r="K12" s="6"/>
      <c r="M12" s="6"/>
      <c r="N12" s="6"/>
      <c r="O12" s="6">
        <v>577</v>
      </c>
      <c r="P12" s="6">
        <v>56</v>
      </c>
      <c r="Q12" s="6"/>
      <c r="R12" s="6">
        <v>1</v>
      </c>
      <c r="S12" s="6"/>
      <c r="T12" s="6"/>
      <c r="U12" s="6">
        <f>641-577</f>
        <v>64</v>
      </c>
      <c r="V12" s="6"/>
      <c r="W12" s="6">
        <v>309</v>
      </c>
      <c r="X12" s="6"/>
      <c r="Y12" s="6"/>
      <c r="Z12" s="6">
        <v>2101</v>
      </c>
      <c r="AA12" s="6"/>
      <c r="AB12" s="6"/>
      <c r="AC12" s="6"/>
      <c r="AD12" s="6"/>
      <c r="AE12" s="6"/>
      <c r="AF12" s="6"/>
    </row>
    <row r="13" spans="1:32" ht="15.75" thickBot="1" x14ac:dyDescent="0.3"/>
    <row r="14" spans="1:32" ht="16.5" thickBot="1" x14ac:dyDescent="0.3">
      <c r="A14" s="14"/>
      <c r="B14" s="36" t="s">
        <v>5</v>
      </c>
      <c r="C14" s="36"/>
      <c r="D14" s="36"/>
      <c r="E14" s="36"/>
      <c r="F14" s="36"/>
      <c r="G14" s="36"/>
      <c r="H14" s="36"/>
      <c r="I14" s="36"/>
      <c r="J14" s="36"/>
      <c r="K14" s="37"/>
      <c r="M14" s="21" t="s">
        <v>15</v>
      </c>
      <c r="N14" s="22"/>
      <c r="O14" s="22"/>
      <c r="P14" s="22"/>
      <c r="Q14" s="23"/>
      <c r="R14" s="18"/>
    </row>
    <row r="15" spans="1:32" ht="15.75" thickBot="1" x14ac:dyDescent="0.3">
      <c r="B15" s="26" t="s">
        <v>290</v>
      </c>
      <c r="C15" s="28"/>
      <c r="D15" s="26" t="s">
        <v>7</v>
      </c>
      <c r="E15" s="28"/>
      <c r="F15" s="26" t="s">
        <v>17</v>
      </c>
      <c r="G15" s="28"/>
      <c r="H15" s="26" t="s">
        <v>62</v>
      </c>
      <c r="I15" s="28"/>
      <c r="J15" s="26" t="s">
        <v>60</v>
      </c>
      <c r="K15" s="28"/>
      <c r="M15" s="6" t="s">
        <v>7</v>
      </c>
      <c r="N15" s="6" t="s">
        <v>17</v>
      </c>
      <c r="O15" s="6" t="s">
        <v>62</v>
      </c>
      <c r="P15" s="6" t="s">
        <v>294</v>
      </c>
      <c r="Q15" s="6" t="s">
        <v>60</v>
      </c>
      <c r="R15" s="17"/>
    </row>
    <row r="16" spans="1:32" ht="15.75" thickBot="1" x14ac:dyDescent="0.3">
      <c r="A16" s="6" t="s">
        <v>10</v>
      </c>
      <c r="B16" s="6">
        <v>4.2361255700000005</v>
      </c>
      <c r="C16" s="6" t="s">
        <v>316</v>
      </c>
      <c r="D16" s="6">
        <v>1.6097087150000005</v>
      </c>
      <c r="E16" s="6" t="s">
        <v>269</v>
      </c>
      <c r="F16" s="6" t="s">
        <v>307</v>
      </c>
      <c r="G16" s="6">
        <v>3.2700165650000002</v>
      </c>
      <c r="H16" s="6">
        <v>2.3663189550000001</v>
      </c>
      <c r="I16" s="6" t="s">
        <v>270</v>
      </c>
      <c r="J16" s="6">
        <v>3.0257101805243445</v>
      </c>
      <c r="K16" s="6" t="s">
        <v>271</v>
      </c>
      <c r="M16" s="6">
        <v>0.89955881032757889</v>
      </c>
      <c r="N16" s="6">
        <v>0.90191893575191806</v>
      </c>
      <c r="O16" s="6">
        <v>0.90001877965544608</v>
      </c>
      <c r="P16" s="1">
        <v>0.91004687345949298</v>
      </c>
      <c r="Q16" s="6">
        <v>0.83384128680750658</v>
      </c>
      <c r="R16" s="17"/>
    </row>
    <row r="17" spans="1:18" ht="15.75" thickBot="1" x14ac:dyDescent="0.3">
      <c r="A17" s="6" t="s">
        <v>11</v>
      </c>
      <c r="B17" s="6"/>
      <c r="C17" s="6"/>
      <c r="D17" s="6"/>
      <c r="E17" s="6"/>
      <c r="F17" s="6"/>
      <c r="G17" s="6"/>
      <c r="H17" s="6"/>
      <c r="I17" s="6"/>
      <c r="J17" s="6"/>
      <c r="K17" s="6"/>
      <c r="M17" s="6">
        <v>0.68857175999734044</v>
      </c>
      <c r="N17" s="6">
        <v>0.68818933679151717</v>
      </c>
      <c r="O17" s="6">
        <v>0.68356598954808157</v>
      </c>
      <c r="P17" s="1">
        <v>0.75218971973060156</v>
      </c>
      <c r="Q17" s="6">
        <v>0.73573590488311169</v>
      </c>
      <c r="R17" s="17"/>
    </row>
    <row r="18" spans="1:18" ht="15.75" thickBot="1" x14ac:dyDescent="0.3">
      <c r="A18" s="6" t="s">
        <v>9</v>
      </c>
      <c r="B18" s="6"/>
      <c r="C18" s="6"/>
      <c r="D18" s="6">
        <v>3.4849969400000007</v>
      </c>
      <c r="E18" s="6"/>
      <c r="F18" s="6">
        <v>3.2571055749999998</v>
      </c>
      <c r="G18" s="6"/>
      <c r="H18" s="6">
        <v>3.2402190800000001</v>
      </c>
      <c r="I18" s="6"/>
      <c r="J18" s="6">
        <v>2.7852419900000003</v>
      </c>
      <c r="K18" s="6"/>
      <c r="M18" s="6"/>
      <c r="N18" s="6"/>
      <c r="O18" s="6"/>
      <c r="P18" s="6"/>
      <c r="Q18" s="6"/>
      <c r="R18" s="17"/>
    </row>
    <row r="19" spans="1:18" ht="15.75" thickBot="1" x14ac:dyDescent="0.3">
      <c r="A19" s="6" t="s">
        <v>195</v>
      </c>
      <c r="B19" s="6"/>
      <c r="C19" s="6"/>
      <c r="D19" s="6"/>
      <c r="E19" s="6"/>
      <c r="F19" s="6"/>
      <c r="G19" s="6"/>
      <c r="H19" s="6"/>
      <c r="I19" s="6"/>
      <c r="J19" s="6"/>
      <c r="K19" s="6"/>
      <c r="M19" s="6"/>
      <c r="N19" s="6"/>
      <c r="O19" s="6"/>
      <c r="P19" s="6"/>
      <c r="Q19" s="6"/>
      <c r="R19" s="17"/>
    </row>
    <row r="20" spans="1:18" ht="15.75" thickBot="1" x14ac:dyDescent="0.3">
      <c r="A20" s="6" t="s">
        <v>196</v>
      </c>
      <c r="B20" s="6"/>
      <c r="C20" s="6"/>
      <c r="D20" s="6"/>
      <c r="E20" s="6"/>
      <c r="F20" s="6"/>
      <c r="G20" s="6"/>
      <c r="H20" s="6"/>
      <c r="I20" s="6"/>
      <c r="J20" s="6"/>
      <c r="K20" s="6"/>
      <c r="M20" s="6"/>
      <c r="N20" s="6"/>
      <c r="O20" s="6"/>
      <c r="P20" s="6"/>
      <c r="Q20" s="6"/>
      <c r="R20" s="17"/>
    </row>
    <row r="21" spans="1:18" ht="15.75" thickBot="1" x14ac:dyDescent="0.3">
      <c r="A21" s="6" t="s">
        <v>263</v>
      </c>
      <c r="B21" s="6"/>
      <c r="C21" s="6"/>
      <c r="D21" s="6"/>
      <c r="E21" s="6"/>
      <c r="F21" s="6"/>
      <c r="G21" s="6"/>
      <c r="H21" s="6"/>
      <c r="I21" s="6"/>
      <c r="J21" s="6"/>
      <c r="K21" s="6"/>
      <c r="M21" s="6"/>
      <c r="N21" s="6"/>
      <c r="O21" s="6"/>
      <c r="P21" s="6"/>
      <c r="Q21" s="6"/>
      <c r="R21" s="17"/>
    </row>
    <row r="22" spans="1:18" ht="15.75" thickBot="1" x14ac:dyDescent="0.3">
      <c r="A22" s="6" t="s">
        <v>320</v>
      </c>
      <c r="B22" s="6"/>
      <c r="C22" s="6"/>
      <c r="D22" s="6"/>
      <c r="E22" s="6"/>
      <c r="F22" s="6"/>
      <c r="G22" s="6"/>
      <c r="H22" s="6"/>
      <c r="I22" s="6"/>
      <c r="J22" s="6"/>
      <c r="K22" s="6"/>
      <c r="M22" s="6"/>
      <c r="N22" s="6"/>
      <c r="O22" s="6"/>
      <c r="P22" s="6"/>
      <c r="Q22" s="6"/>
      <c r="R22" s="17"/>
    </row>
    <row r="23" spans="1:18" ht="15.75" thickBot="1" x14ac:dyDescent="0.3">
      <c r="A23" s="6" t="s">
        <v>319</v>
      </c>
      <c r="B23" s="6"/>
      <c r="C23" s="6"/>
      <c r="D23" s="6"/>
      <c r="E23" s="6"/>
      <c r="F23" s="6"/>
      <c r="G23" s="6"/>
      <c r="H23" s="6"/>
      <c r="I23" s="6"/>
      <c r="J23" s="6"/>
      <c r="K23" s="6"/>
      <c r="M23" s="6"/>
      <c r="N23" s="6"/>
      <c r="O23" s="6"/>
      <c r="P23" s="6"/>
      <c r="Q23" s="6"/>
      <c r="R23" s="17"/>
    </row>
    <row r="24" spans="1:18" ht="15.75" thickBot="1" x14ac:dyDescent="0.3">
      <c r="A24" s="6" t="s">
        <v>317</v>
      </c>
      <c r="B24" s="6"/>
      <c r="C24" s="6"/>
      <c r="D24" s="6"/>
      <c r="E24" s="6"/>
      <c r="F24" s="6"/>
      <c r="G24" s="6"/>
      <c r="H24" s="6"/>
      <c r="I24" s="6"/>
      <c r="J24" s="6"/>
      <c r="K24" s="6"/>
      <c r="M24" s="6"/>
      <c r="N24" s="6"/>
      <c r="O24" s="6"/>
      <c r="P24" s="6"/>
      <c r="Q24" s="6"/>
      <c r="R24" s="17"/>
    </row>
    <row r="25" spans="1:18" ht="15.75" thickBot="1" x14ac:dyDescent="0.3">
      <c r="A25" s="6" t="s">
        <v>272</v>
      </c>
    </row>
    <row r="26" spans="1:18" ht="15.75" thickBot="1" x14ac:dyDescent="0.3">
      <c r="A26" s="17"/>
    </row>
    <row r="27" spans="1:18" ht="15.75" thickBot="1" x14ac:dyDescent="0.3">
      <c r="B27" s="16" t="s">
        <v>290</v>
      </c>
      <c r="C27" s="16" t="s">
        <v>7</v>
      </c>
      <c r="D27" s="16" t="s">
        <v>17</v>
      </c>
      <c r="E27" s="16" t="s">
        <v>62</v>
      </c>
      <c r="F27" s="16" t="s">
        <v>60</v>
      </c>
    </row>
    <row r="28" spans="1:18" x14ac:dyDescent="0.25">
      <c r="A28" s="17" t="s">
        <v>292</v>
      </c>
      <c r="B28">
        <v>57</v>
      </c>
      <c r="E28">
        <v>641</v>
      </c>
    </row>
    <row r="29" spans="1:18" x14ac:dyDescent="0.25">
      <c r="A29" s="17" t="s">
        <v>293</v>
      </c>
      <c r="B29">
        <v>325</v>
      </c>
      <c r="E29">
        <v>2715</v>
      </c>
    </row>
    <row r="33" spans="1:14" x14ac:dyDescent="0.25">
      <c r="B33" s="20" t="s">
        <v>294</v>
      </c>
      <c r="C33" s="20"/>
      <c r="D33" s="20"/>
      <c r="E33" s="20"/>
      <c r="F33" s="20"/>
      <c r="G33" s="20"/>
      <c r="I33" s="20" t="s">
        <v>62</v>
      </c>
      <c r="J33" s="20"/>
      <c r="K33" s="20"/>
      <c r="L33" s="20"/>
      <c r="M33" s="20"/>
      <c r="N33" s="20"/>
    </row>
    <row r="34" spans="1:14" x14ac:dyDescent="0.25">
      <c r="B34" t="s">
        <v>297</v>
      </c>
      <c r="C34" t="s">
        <v>298</v>
      </c>
      <c r="D34" t="s">
        <v>71</v>
      </c>
      <c r="E34" t="s">
        <v>299</v>
      </c>
      <c r="F34" t="s">
        <v>300</v>
      </c>
      <c r="G34" t="s">
        <v>301</v>
      </c>
      <c r="I34" t="s">
        <v>297</v>
      </c>
      <c r="J34" t="s">
        <v>298</v>
      </c>
      <c r="K34" t="s">
        <v>71</v>
      </c>
      <c r="L34" t="s">
        <v>299</v>
      </c>
      <c r="M34" t="s">
        <v>300</v>
      </c>
      <c r="N34" t="s">
        <v>301</v>
      </c>
    </row>
    <row r="35" spans="1:14" x14ac:dyDescent="0.25">
      <c r="A35" t="s">
        <v>295</v>
      </c>
      <c r="B35">
        <v>35</v>
      </c>
      <c r="C35">
        <v>15</v>
      </c>
      <c r="D35">
        <v>21</v>
      </c>
      <c r="E35">
        <v>4.6500000000000004</v>
      </c>
      <c r="F35">
        <v>7.0000000000000007E-2</v>
      </c>
      <c r="G35">
        <v>1.1599999999999999</v>
      </c>
      <c r="I35">
        <v>53.4</v>
      </c>
      <c r="J35">
        <v>32.799999999999997</v>
      </c>
      <c r="K35">
        <v>40.6</v>
      </c>
      <c r="L35">
        <v>4.29</v>
      </c>
      <c r="M35">
        <v>0.08</v>
      </c>
      <c r="N35">
        <v>1.21</v>
      </c>
    </row>
    <row r="36" spans="1:14" x14ac:dyDescent="0.25">
      <c r="A36" t="s">
        <v>273</v>
      </c>
      <c r="B36">
        <v>31.3</v>
      </c>
      <c r="C36">
        <v>30.7</v>
      </c>
      <c r="D36">
        <v>31</v>
      </c>
      <c r="E36">
        <v>4.93</v>
      </c>
      <c r="F36">
        <v>0.2</v>
      </c>
      <c r="G36">
        <v>1.6</v>
      </c>
      <c r="I36">
        <v>35.299999999999997</v>
      </c>
      <c r="J36">
        <v>50.5</v>
      </c>
      <c r="K36">
        <v>41.6</v>
      </c>
      <c r="L36">
        <v>4.97</v>
      </c>
      <c r="M36">
        <v>0.4</v>
      </c>
      <c r="N36">
        <v>1.57</v>
      </c>
    </row>
    <row r="37" spans="1:14" x14ac:dyDescent="0.25">
      <c r="A37" t="s">
        <v>296</v>
      </c>
      <c r="B37">
        <v>41.2</v>
      </c>
      <c r="C37">
        <v>20.100000000000001</v>
      </c>
      <c r="D37">
        <v>27</v>
      </c>
      <c r="E37">
        <v>6.23</v>
      </c>
      <c r="F37">
        <v>0.26</v>
      </c>
      <c r="G37">
        <v>1.07</v>
      </c>
      <c r="I37">
        <v>48.5</v>
      </c>
      <c r="J37">
        <v>44.6</v>
      </c>
      <c r="K37">
        <v>46.5</v>
      </c>
      <c r="L37">
        <v>6.43</v>
      </c>
      <c r="M37">
        <v>0.39</v>
      </c>
      <c r="N37">
        <v>1.08</v>
      </c>
    </row>
    <row r="38" spans="1:14" x14ac:dyDescent="0.25">
      <c r="A38" t="s">
        <v>275</v>
      </c>
      <c r="B38">
        <v>27.7</v>
      </c>
      <c r="C38">
        <v>19.399999999999999</v>
      </c>
      <c r="D38">
        <v>22.8</v>
      </c>
      <c r="E38">
        <v>5.98</v>
      </c>
      <c r="F38">
        <v>0.66</v>
      </c>
      <c r="G38">
        <v>1.1399999999999999</v>
      </c>
      <c r="I38">
        <v>44.3</v>
      </c>
      <c r="J38">
        <v>44.5</v>
      </c>
      <c r="K38">
        <v>44.4</v>
      </c>
      <c r="L38">
        <v>6.26</v>
      </c>
      <c r="M38">
        <v>0.56000000000000005</v>
      </c>
      <c r="N38">
        <v>1.29</v>
      </c>
    </row>
    <row r="39" spans="1:14" x14ac:dyDescent="0.25">
      <c r="A39" t="s">
        <v>66</v>
      </c>
      <c r="B39">
        <v>33.4</v>
      </c>
      <c r="C39">
        <v>18.899999999999999</v>
      </c>
      <c r="D39">
        <v>24.1</v>
      </c>
      <c r="E39">
        <v>5.54</v>
      </c>
      <c r="F39">
        <v>0.42</v>
      </c>
      <c r="G39">
        <v>1.05</v>
      </c>
      <c r="I39">
        <v>48.2</v>
      </c>
      <c r="J39">
        <v>44.5</v>
      </c>
      <c r="K39">
        <v>46.3</v>
      </c>
      <c r="L39">
        <v>6.06</v>
      </c>
      <c r="M39">
        <v>0.42</v>
      </c>
      <c r="N39">
        <v>1.08</v>
      </c>
    </row>
    <row r="40" spans="1:14" x14ac:dyDescent="0.25">
      <c r="A40" t="s">
        <v>68</v>
      </c>
      <c r="B40">
        <v>41.4</v>
      </c>
      <c r="C40">
        <v>25.8</v>
      </c>
      <c r="D40">
        <v>31.8</v>
      </c>
      <c r="E40">
        <v>5.23</v>
      </c>
      <c r="F40">
        <v>0.05</v>
      </c>
      <c r="G40">
        <v>1.37</v>
      </c>
      <c r="I40">
        <v>51.3</v>
      </c>
      <c r="J40">
        <v>39.9</v>
      </c>
      <c r="K40">
        <v>45</v>
      </c>
      <c r="L40">
        <v>5.08</v>
      </c>
      <c r="M40">
        <v>7.0000000000000007E-2</v>
      </c>
      <c r="N40">
        <v>1.32</v>
      </c>
    </row>
    <row r="41" spans="1:14" ht="15.75" thickBot="1" x14ac:dyDescent="0.3">
      <c r="A41" t="s">
        <v>77</v>
      </c>
      <c r="K41" s="19"/>
      <c r="L41" s="6"/>
    </row>
    <row r="42" spans="1:14" ht="15.75" thickBot="1" x14ac:dyDescent="0.3">
      <c r="A42" t="s">
        <v>323</v>
      </c>
      <c r="K42" s="6"/>
    </row>
    <row r="43" spans="1:14" x14ac:dyDescent="0.25">
      <c r="A43" t="s">
        <v>322</v>
      </c>
    </row>
    <row r="44" spans="1:14" x14ac:dyDescent="0.25">
      <c r="A44" t="s">
        <v>321</v>
      </c>
      <c r="J44" t="s">
        <v>311</v>
      </c>
      <c r="K44" t="s">
        <v>308</v>
      </c>
    </row>
    <row r="45" spans="1:14" x14ac:dyDescent="0.25">
      <c r="K45" t="s">
        <v>309</v>
      </c>
    </row>
    <row r="46" spans="1:14" x14ac:dyDescent="0.25">
      <c r="K46" t="s">
        <v>310</v>
      </c>
    </row>
    <row r="48" spans="1:14" x14ac:dyDescent="0.25">
      <c r="K48" t="s">
        <v>312</v>
      </c>
    </row>
    <row r="49" spans="11:11" x14ac:dyDescent="0.25">
      <c r="K49" t="s">
        <v>313</v>
      </c>
    </row>
    <row r="50" spans="11:11" x14ac:dyDescent="0.25">
      <c r="K50" t="s">
        <v>314</v>
      </c>
    </row>
  </sheetData>
  <mergeCells count="24">
    <mergeCell ref="AE3:AE4"/>
    <mergeCell ref="AF3:AF4"/>
    <mergeCell ref="D15:E15"/>
    <mergeCell ref="F15:G15"/>
    <mergeCell ref="H15:I15"/>
    <mergeCell ref="J15:K15"/>
    <mergeCell ref="B14:K14"/>
    <mergeCell ref="B15:C15"/>
    <mergeCell ref="B33:G33"/>
    <mergeCell ref="I33:N33"/>
    <mergeCell ref="M14:Q14"/>
    <mergeCell ref="M1:Q1"/>
    <mergeCell ref="AB1:AF1"/>
    <mergeCell ref="AB3:AB4"/>
    <mergeCell ref="AC3:AC4"/>
    <mergeCell ref="W1:AA1"/>
    <mergeCell ref="R1:V1"/>
    <mergeCell ref="D2:E2"/>
    <mergeCell ref="F2:G2"/>
    <mergeCell ref="H2:I2"/>
    <mergeCell ref="J2:K2"/>
    <mergeCell ref="B1:K1"/>
    <mergeCell ref="B2:C2"/>
    <mergeCell ref="AD3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27"/>
  <sheetViews>
    <sheetView topLeftCell="I1" workbookViewId="0">
      <selection activeCell="J26" sqref="J26"/>
    </sheetView>
  </sheetViews>
  <sheetFormatPr defaultColWidth="9.140625" defaultRowHeight="15" x14ac:dyDescent="0.25"/>
  <cols>
    <col min="1" max="1" width="14.85546875" style="1" bestFit="1" customWidth="1"/>
    <col min="2" max="2" width="20.28515625" style="1" bestFit="1" customWidth="1"/>
    <col min="3" max="3" width="20.28515625" style="1" customWidth="1"/>
    <col min="4" max="4" width="29.7109375" style="1" bestFit="1" customWidth="1"/>
    <col min="5" max="5" width="29.7109375" style="1" customWidth="1"/>
    <col min="6" max="6" width="39.85546875" style="1" bestFit="1" customWidth="1"/>
    <col min="7" max="7" width="38.140625" style="1" bestFit="1" customWidth="1"/>
    <col min="8" max="8" width="45.85546875" style="1" bestFit="1" customWidth="1"/>
    <col min="9" max="9" width="30.7109375" style="1" bestFit="1" customWidth="1"/>
    <col min="10" max="28" width="9.140625" style="1"/>
    <col min="29" max="29" width="10" style="1" bestFit="1" customWidth="1"/>
    <col min="30" max="31" width="10" style="1" customWidth="1"/>
    <col min="32" max="32" width="6.85546875" style="1" customWidth="1"/>
    <col min="33" max="16384" width="9.140625" style="1"/>
  </cols>
  <sheetData>
    <row r="1" spans="1:55" s="3" customFormat="1" ht="18.75" x14ac:dyDescent="0.3">
      <c r="A1" s="3" t="s">
        <v>6</v>
      </c>
      <c r="B1" s="3" t="s">
        <v>1</v>
      </c>
      <c r="D1" s="3" t="s">
        <v>8</v>
      </c>
      <c r="E1" s="3" t="s">
        <v>15</v>
      </c>
      <c r="F1" s="3" t="s">
        <v>14</v>
      </c>
      <c r="G1" s="3" t="s">
        <v>2</v>
      </c>
      <c r="H1" s="3" t="s">
        <v>3</v>
      </c>
      <c r="I1" s="3" t="s">
        <v>4</v>
      </c>
      <c r="J1" s="39" t="s">
        <v>0</v>
      </c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G1" s="39" t="s">
        <v>5</v>
      </c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</row>
    <row r="2" spans="1:55" x14ac:dyDescent="0.25">
      <c r="J2" s="1">
        <v>1</v>
      </c>
      <c r="K2" s="1">
        <v>2</v>
      </c>
      <c r="L2" s="1">
        <v>3</v>
      </c>
      <c r="M2" s="1">
        <v>4</v>
      </c>
      <c r="N2" s="1">
        <v>5</v>
      </c>
      <c r="O2" s="1">
        <v>6</v>
      </c>
      <c r="P2" s="1">
        <v>7</v>
      </c>
      <c r="Q2" s="1">
        <v>8</v>
      </c>
      <c r="R2" s="1">
        <v>9</v>
      </c>
      <c r="S2" s="1">
        <v>10</v>
      </c>
      <c r="T2" s="1">
        <v>11</v>
      </c>
      <c r="U2" s="1">
        <v>12</v>
      </c>
      <c r="V2" s="1">
        <v>13</v>
      </c>
      <c r="W2" s="1">
        <v>14</v>
      </c>
      <c r="X2" s="1">
        <v>15</v>
      </c>
      <c r="Y2" s="1">
        <v>16</v>
      </c>
      <c r="Z2" s="1">
        <v>17</v>
      </c>
      <c r="AA2" s="1">
        <v>18</v>
      </c>
      <c r="AB2" s="1">
        <v>19</v>
      </c>
      <c r="AC2" s="1">
        <v>20</v>
      </c>
      <c r="AG2" s="1">
        <v>1</v>
      </c>
      <c r="AH2" s="1">
        <v>2</v>
      </c>
      <c r="AI2" s="1">
        <v>3</v>
      </c>
      <c r="AJ2" s="1">
        <v>4</v>
      </c>
      <c r="AK2" s="1">
        <v>5</v>
      </c>
      <c r="AL2" s="1">
        <v>6</v>
      </c>
      <c r="AM2" s="1">
        <v>7</v>
      </c>
      <c r="AN2" s="1">
        <v>8</v>
      </c>
      <c r="AO2" s="1">
        <v>9</v>
      </c>
      <c r="AP2" s="1">
        <v>10</v>
      </c>
      <c r="AQ2" s="1">
        <v>11</v>
      </c>
      <c r="AR2" s="1">
        <v>12</v>
      </c>
      <c r="AS2" s="1">
        <v>13</v>
      </c>
      <c r="AT2" s="1">
        <v>14</v>
      </c>
      <c r="AU2" s="1">
        <v>15</v>
      </c>
      <c r="AV2" s="1">
        <v>16</v>
      </c>
      <c r="AW2" s="1">
        <v>17</v>
      </c>
      <c r="AX2" s="1">
        <v>18</v>
      </c>
      <c r="AY2" s="1">
        <v>19</v>
      </c>
      <c r="AZ2" s="1">
        <v>20</v>
      </c>
    </row>
    <row r="3" spans="1:55" x14ac:dyDescent="0.25">
      <c r="D3" s="1" t="s">
        <v>10</v>
      </c>
      <c r="E3" s="1">
        <v>0.89955881032757889</v>
      </c>
      <c r="F3" s="38" t="s">
        <v>12</v>
      </c>
      <c r="G3" s="1">
        <v>300</v>
      </c>
      <c r="H3" s="1">
        <v>0</v>
      </c>
      <c r="I3" s="1">
        <v>3505</v>
      </c>
      <c r="J3" s="1">
        <v>0.1823226</v>
      </c>
      <c r="K3" s="1">
        <v>0.3054924</v>
      </c>
      <c r="L3" s="1">
        <v>0.56661589999999995</v>
      </c>
      <c r="M3" s="1">
        <v>0.6403356</v>
      </c>
      <c r="N3" s="1">
        <v>0.67421489999999995</v>
      </c>
      <c r="O3" s="1">
        <v>0.68485249999999998</v>
      </c>
      <c r="P3" s="1">
        <v>0.72045910000000002</v>
      </c>
      <c r="Q3" s="1">
        <v>0.72629290000000002</v>
      </c>
      <c r="R3" s="1">
        <v>0.72284590000000004</v>
      </c>
      <c r="S3" s="1">
        <v>0.73832589999999998</v>
      </c>
      <c r="T3" s="1">
        <v>0.73168730000000004</v>
      </c>
      <c r="U3" s="1">
        <v>0.73467839999999995</v>
      </c>
      <c r="V3" s="1">
        <v>0.74324319999999999</v>
      </c>
      <c r="W3" s="1">
        <v>0.73662450000000002</v>
      </c>
      <c r="X3" s="1">
        <v>0.73828689999999997</v>
      </c>
      <c r="Y3" s="1">
        <v>0.73536360000000001</v>
      </c>
      <c r="Z3" s="1">
        <v>0.73558650000000003</v>
      </c>
      <c r="AA3" s="1">
        <v>0.73966600000000005</v>
      </c>
      <c r="AB3" s="1">
        <v>0.73647560000000001</v>
      </c>
      <c r="AC3" s="1">
        <v>0.73354430000000004</v>
      </c>
      <c r="AD3" s="1">
        <f>AVERAGE(J3:AC3)</f>
        <v>0.66634569999999993</v>
      </c>
      <c r="AE3" s="1">
        <f>MAX(J3:AC3)</f>
        <v>0.74324319999999999</v>
      </c>
      <c r="AG3" s="1">
        <v>5.7693867000000001</v>
      </c>
      <c r="AH3" s="1">
        <v>4.3512082000000003</v>
      </c>
      <c r="AI3" s="1">
        <v>2.8361976000000002</v>
      </c>
      <c r="AJ3" s="1">
        <v>2.3163369999999999</v>
      </c>
      <c r="AK3" s="1">
        <v>2.0799291000000002</v>
      </c>
      <c r="AL3" s="1">
        <v>1.0589774999999999</v>
      </c>
      <c r="AM3" s="1">
        <v>0.76380499999999996</v>
      </c>
      <c r="AN3" s="1">
        <v>0.86093450000000005</v>
      </c>
      <c r="AO3" s="1">
        <v>2.0552150999999999</v>
      </c>
      <c r="AP3" s="1">
        <v>0.84638469999999999</v>
      </c>
      <c r="AQ3" s="1">
        <v>0.89057090000000005</v>
      </c>
      <c r="AR3" s="1">
        <v>1.0593433000000001</v>
      </c>
      <c r="AS3" s="1">
        <v>0.81538089999999996</v>
      </c>
      <c r="AT3" s="1">
        <v>0.83644430000000003</v>
      </c>
      <c r="AU3" s="1">
        <v>0.80959829999999999</v>
      </c>
      <c r="AV3" s="1">
        <v>0.83740490000000001</v>
      </c>
      <c r="AW3" s="1">
        <v>0.89138569999999995</v>
      </c>
      <c r="AX3" s="1">
        <v>1.1494565999999999</v>
      </c>
      <c r="AY3" s="1">
        <v>1.0177639000000001</v>
      </c>
      <c r="AZ3" s="1">
        <v>0.94845009999999996</v>
      </c>
      <c r="BA3" s="1">
        <f>AVERAGE(AG3:AZ3)</f>
        <v>1.6097087150000005</v>
      </c>
      <c r="BB3" s="1">
        <f>MIN(AG3:AZ3)</f>
        <v>0.76380499999999996</v>
      </c>
    </row>
    <row r="4" spans="1:55" x14ac:dyDescent="0.25">
      <c r="D4" s="1" t="s">
        <v>11</v>
      </c>
      <c r="E4" s="1">
        <v>0.68857175999734044</v>
      </c>
      <c r="F4" s="38"/>
      <c r="G4" s="1">
        <f>B5-H4</f>
        <v>244</v>
      </c>
      <c r="H4" s="1">
        <v>56</v>
      </c>
      <c r="I4" s="1">
        <v>545</v>
      </c>
    </row>
    <row r="5" spans="1:55" x14ac:dyDescent="0.25">
      <c r="A5" s="1" t="s">
        <v>7</v>
      </c>
      <c r="B5" s="1">
        <v>300</v>
      </c>
      <c r="D5" s="1" t="s">
        <v>9</v>
      </c>
      <c r="G5" s="1">
        <f>B5-H5</f>
        <v>152</v>
      </c>
      <c r="H5" s="1">
        <v>148</v>
      </c>
      <c r="I5" s="1">
        <v>548</v>
      </c>
      <c r="J5" s="1">
        <v>0.229741</v>
      </c>
      <c r="K5" s="1">
        <v>0.4976891</v>
      </c>
      <c r="L5" s="1">
        <v>0.68079460000000003</v>
      </c>
      <c r="M5" s="1">
        <v>0.7995911</v>
      </c>
      <c r="N5" s="1">
        <v>0.87240200000000001</v>
      </c>
      <c r="O5" s="1">
        <v>0.90180300000000002</v>
      </c>
      <c r="P5" s="1">
        <v>0.92389790000000005</v>
      </c>
      <c r="Q5" s="1">
        <v>0.94796749999999996</v>
      </c>
      <c r="R5" s="1">
        <v>0.96069660000000001</v>
      </c>
      <c r="S5" s="1">
        <v>0.96991159999999998</v>
      </c>
      <c r="T5" s="1">
        <v>0.97795569999999998</v>
      </c>
      <c r="U5" s="1">
        <v>0.98231360000000001</v>
      </c>
      <c r="V5" s="1">
        <v>0.98234180000000004</v>
      </c>
      <c r="W5" s="1">
        <v>0.98828229999999995</v>
      </c>
      <c r="X5" s="1">
        <v>0.98869969999999996</v>
      </c>
      <c r="Y5" s="1">
        <v>0.988402</v>
      </c>
      <c r="Z5" s="1">
        <v>0.98820249999999998</v>
      </c>
      <c r="AA5" s="1">
        <v>0.99061259999999995</v>
      </c>
      <c r="AB5" s="1">
        <v>0.99323740000000005</v>
      </c>
      <c r="AC5" s="1">
        <v>0.9937281</v>
      </c>
      <c r="AD5" s="1">
        <f>AVERAGE(J5:AC5)</f>
        <v>0.88291350499999999</v>
      </c>
      <c r="AG5" s="1">
        <v>11.551193400000001</v>
      </c>
      <c r="AH5" s="1">
        <v>6.0771034000000004</v>
      </c>
      <c r="AI5" s="1">
        <v>4.2796982000000003</v>
      </c>
      <c r="AJ5" s="1">
        <v>3.4773567999999999</v>
      </c>
      <c r="AK5" s="1">
        <v>3.0440494999999999</v>
      </c>
      <c r="AL5" s="1">
        <v>2.8271107999999998</v>
      </c>
      <c r="AM5" s="1">
        <v>2.6811017000000001</v>
      </c>
      <c r="AN5" s="1">
        <v>2.5425890999999998</v>
      </c>
      <c r="AO5" s="1">
        <v>2.4678163</v>
      </c>
      <c r="AP5" s="1">
        <v>2.4167141999999999</v>
      </c>
      <c r="AQ5" s="1">
        <v>2.3580964</v>
      </c>
      <c r="AR5" s="1">
        <v>2.3601801999999998</v>
      </c>
      <c r="AS5" s="1">
        <v>2.8741229000000001</v>
      </c>
      <c r="AT5" s="1">
        <v>2.5791751999999999</v>
      </c>
      <c r="AU5" s="1">
        <v>2.3693604000000001</v>
      </c>
      <c r="AV5" s="1">
        <v>3.0948514</v>
      </c>
      <c r="AW5" s="1">
        <v>2.788691</v>
      </c>
      <c r="AX5" s="1">
        <v>2.5650523999999999</v>
      </c>
      <c r="AY5" s="1">
        <v>3.9232425000000002</v>
      </c>
      <c r="AZ5" s="1">
        <v>3.4224329999999998</v>
      </c>
      <c r="BA5" s="1">
        <f>AVERAGE(AG5:AZ5)</f>
        <v>3.4849969400000007</v>
      </c>
    </row>
    <row r="6" spans="1:55" s="4" customFormat="1" x14ac:dyDescent="0.25">
      <c r="F6" s="5"/>
    </row>
    <row r="9" spans="1:55" x14ac:dyDescent="0.25">
      <c r="D9" s="1" t="s">
        <v>10</v>
      </c>
      <c r="J9">
        <v>0.14431920000000001</v>
      </c>
      <c r="K9">
        <v>0.2168167</v>
      </c>
      <c r="L9">
        <v>0.26406669999999999</v>
      </c>
      <c r="M9">
        <v>0.32846890000000001</v>
      </c>
      <c r="N9">
        <v>0.39250249999999998</v>
      </c>
      <c r="O9">
        <v>0.4536558</v>
      </c>
      <c r="P9">
        <v>0.49682340000000003</v>
      </c>
      <c r="Q9">
        <v>0.52977779999999997</v>
      </c>
      <c r="R9">
        <v>0.55969449999999998</v>
      </c>
      <c r="S9">
        <v>0.57928080000000004</v>
      </c>
      <c r="T9">
        <v>0.59014359999999999</v>
      </c>
      <c r="U9">
        <v>0.60996779999999995</v>
      </c>
      <c r="V9">
        <v>0.61582709999999996</v>
      </c>
      <c r="W9">
        <v>0.62851659999999998</v>
      </c>
      <c r="X9">
        <v>0.63432520000000003</v>
      </c>
      <c r="Y9">
        <v>0.63629599999999997</v>
      </c>
      <c r="Z9">
        <v>0.64390069999999999</v>
      </c>
      <c r="AA9">
        <v>0.65523810000000005</v>
      </c>
      <c r="AB9">
        <v>0.64724780000000004</v>
      </c>
      <c r="AC9">
        <v>0.65234040000000004</v>
      </c>
      <c r="AD9" s="1">
        <f>AVERAGE(J9:AC9)</f>
        <v>0.51396047999999994</v>
      </c>
      <c r="AE9" s="1">
        <f>MAX(J9:AC9)</f>
        <v>0.65523810000000005</v>
      </c>
      <c r="AG9">
        <v>5.2397026999999996</v>
      </c>
      <c r="AH9">
        <v>4.3065334999999996</v>
      </c>
      <c r="AI9">
        <v>4.2058996000000004</v>
      </c>
      <c r="AJ9">
        <v>3.6677832000000001</v>
      </c>
      <c r="AK9">
        <v>3.5371990000000002</v>
      </c>
      <c r="AL9">
        <v>3.1055389</v>
      </c>
      <c r="AM9">
        <v>3.2799914000000001</v>
      </c>
      <c r="AN9">
        <v>3.0901774999999998</v>
      </c>
      <c r="AO9">
        <v>2.8339436999999998</v>
      </c>
      <c r="AP9">
        <v>2.9245258000000001</v>
      </c>
      <c r="AQ9">
        <v>2.7352344999999998</v>
      </c>
      <c r="AR9">
        <v>2.6579687000000001</v>
      </c>
      <c r="AS9">
        <v>2.8390667999999999</v>
      </c>
      <c r="AT9">
        <v>2.7842888000000001</v>
      </c>
      <c r="AU9">
        <v>2.8802395999999999</v>
      </c>
      <c r="AV9">
        <v>3.1763788000000002</v>
      </c>
      <c r="AW9">
        <v>2.8910239999999998</v>
      </c>
      <c r="AX9">
        <v>3.0820262999999999</v>
      </c>
      <c r="AY9">
        <v>2.8962655000000002</v>
      </c>
      <c r="AZ9">
        <v>3.266543</v>
      </c>
      <c r="BA9" s="1">
        <f>AVERAGE(AG9:AZ9)</f>
        <v>3.2700165650000002</v>
      </c>
      <c r="BB9" s="1">
        <f>MIN(AG9:AZ9)</f>
        <v>2.6579687000000001</v>
      </c>
    </row>
    <row r="10" spans="1:55" x14ac:dyDescent="0.25">
      <c r="D10" s="1" t="s">
        <v>289</v>
      </c>
      <c r="E10" s="1">
        <v>0.90191893575191806</v>
      </c>
      <c r="F10" s="38" t="s">
        <v>59</v>
      </c>
      <c r="G10" s="1">
        <v>591</v>
      </c>
      <c r="H10" s="1">
        <v>0</v>
      </c>
      <c r="I10" s="1" t="s">
        <v>288</v>
      </c>
      <c r="J10">
        <v>0.12667</v>
      </c>
      <c r="K10">
        <v>0.19536990000000001</v>
      </c>
      <c r="L10">
        <v>0.26632470000000003</v>
      </c>
      <c r="M10">
        <v>0.35109580000000001</v>
      </c>
      <c r="N10">
        <v>0.43370999999999998</v>
      </c>
      <c r="O10">
        <v>0.49412309999999998</v>
      </c>
      <c r="P10">
        <v>0.54884860000000002</v>
      </c>
      <c r="Q10">
        <v>0.5786365</v>
      </c>
      <c r="R10">
        <v>0.59586519999999998</v>
      </c>
      <c r="S10">
        <v>0.61622049999999995</v>
      </c>
      <c r="T10">
        <v>0.62941919999999996</v>
      </c>
      <c r="U10">
        <v>0.63262019999999997</v>
      </c>
      <c r="V10">
        <v>0.65060890000000005</v>
      </c>
      <c r="W10">
        <v>0.65327590000000002</v>
      </c>
      <c r="X10">
        <v>0.66318290000000002</v>
      </c>
      <c r="Y10">
        <v>0.66483099999999995</v>
      </c>
      <c r="Z10">
        <v>0.67179920000000004</v>
      </c>
      <c r="AA10">
        <v>0.67490439999999996</v>
      </c>
      <c r="AB10">
        <v>0.68047089999999999</v>
      </c>
      <c r="AC10">
        <v>0.66950730000000003</v>
      </c>
      <c r="AD10" s="1">
        <f>AVERAGE(J10:AC10)</f>
        <v>0.53987421000000002</v>
      </c>
      <c r="AE10" s="1">
        <f>MAX(J10:AC10)</f>
        <v>0.68047089999999999</v>
      </c>
      <c r="AF10" s="1">
        <v>19</v>
      </c>
      <c r="AG10">
        <v>5.3594605</v>
      </c>
      <c r="AH10">
        <v>4.4777798000000004</v>
      </c>
      <c r="AI10">
        <v>4.1579464000000002</v>
      </c>
      <c r="AJ10">
        <v>4.2458777000000003</v>
      </c>
      <c r="AK10">
        <v>3.8577594999999998</v>
      </c>
      <c r="AL10">
        <v>3.6700116999999999</v>
      </c>
      <c r="AM10">
        <v>3.5973212000000001</v>
      </c>
      <c r="AN10">
        <v>3.4199392999999998</v>
      </c>
      <c r="AO10">
        <v>3.4390412000000001</v>
      </c>
      <c r="AP10">
        <v>3.7849197000000001</v>
      </c>
      <c r="AQ10">
        <v>4.0078231000000004</v>
      </c>
      <c r="AR10">
        <v>4.0680246999999996</v>
      </c>
      <c r="AS10">
        <v>3.7556086999999998</v>
      </c>
      <c r="AT10">
        <v>3.9317666999999998</v>
      </c>
      <c r="AU10">
        <v>3.6948899000000002</v>
      </c>
      <c r="AV10">
        <v>4.2691803999999998</v>
      </c>
      <c r="AW10">
        <v>4.0089646999999999</v>
      </c>
      <c r="AX10">
        <v>6.0886513999999998</v>
      </c>
      <c r="AY10">
        <v>4.7735830999999997</v>
      </c>
      <c r="AZ10">
        <v>2.6754487</v>
      </c>
      <c r="BA10" s="1">
        <f>AVERAGE(AG10:AZ10)</f>
        <v>4.0641999200000001</v>
      </c>
      <c r="BB10" s="1">
        <f>MIN(AG10:AZ10)</f>
        <v>2.6754487</v>
      </c>
      <c r="BC10" s="1">
        <v>20</v>
      </c>
    </row>
    <row r="11" spans="1:55" x14ac:dyDescent="0.25">
      <c r="A11" s="1" t="s">
        <v>17</v>
      </c>
      <c r="B11" s="1">
        <v>591</v>
      </c>
      <c r="D11" s="1" t="s">
        <v>11</v>
      </c>
      <c r="E11" s="1">
        <v>0.68818933679151717</v>
      </c>
      <c r="F11" s="38"/>
      <c r="G11" s="1">
        <v>480</v>
      </c>
      <c r="H11" s="1">
        <v>111</v>
      </c>
      <c r="I11" s="1">
        <v>1163</v>
      </c>
    </row>
    <row r="12" spans="1:55" x14ac:dyDescent="0.25">
      <c r="D12" s="1" t="s">
        <v>9</v>
      </c>
      <c r="F12" s="1">
        <v>873</v>
      </c>
      <c r="G12" s="1">
        <f>B11-H12</f>
        <v>311</v>
      </c>
      <c r="H12" s="1">
        <v>280</v>
      </c>
      <c r="I12" s="1">
        <v>1224</v>
      </c>
      <c r="J12" s="1">
        <v>0.29717300000000002</v>
      </c>
      <c r="K12" s="1">
        <v>0.60690010000000005</v>
      </c>
      <c r="L12" s="1">
        <v>0.76753170000000004</v>
      </c>
      <c r="M12" s="1">
        <v>0.85341149999999999</v>
      </c>
      <c r="N12" s="1">
        <v>0.90255790000000002</v>
      </c>
      <c r="O12" s="1">
        <v>0.92742159999999996</v>
      </c>
      <c r="P12" s="1">
        <v>0.94837210000000005</v>
      </c>
      <c r="Q12" s="1">
        <v>0.96185949999999998</v>
      </c>
      <c r="R12" s="1">
        <v>0.96678269999999999</v>
      </c>
      <c r="S12" s="1">
        <v>0.97560449999999999</v>
      </c>
      <c r="T12" s="1">
        <v>0.97496559999999999</v>
      </c>
      <c r="U12" s="1">
        <v>0.9815159</v>
      </c>
      <c r="V12" s="1">
        <v>0.98317600000000005</v>
      </c>
      <c r="W12" s="1">
        <v>0.98636009999999996</v>
      </c>
      <c r="X12" s="1">
        <v>0.98752499999999999</v>
      </c>
      <c r="Y12" s="1">
        <v>0.98956710000000003</v>
      </c>
      <c r="Z12" s="1">
        <v>0.98978639999999996</v>
      </c>
      <c r="AA12" s="1">
        <v>0.9892339</v>
      </c>
      <c r="AB12" s="1">
        <v>0.98974419999999996</v>
      </c>
      <c r="AC12" s="1">
        <v>0.99377669999999996</v>
      </c>
      <c r="AD12" s="1">
        <f>AVERAGE(J12:AC12)</f>
        <v>0.9036632750000001</v>
      </c>
      <c r="AG12" s="1">
        <v>8.8458637000000007</v>
      </c>
      <c r="AH12" s="1">
        <v>4.8335828999999997</v>
      </c>
      <c r="AI12" s="1">
        <v>3.6515105000000001</v>
      </c>
      <c r="AJ12" s="1">
        <v>3.0975088</v>
      </c>
      <c r="AK12" s="1">
        <v>2.7735129000000001</v>
      </c>
      <c r="AL12" s="1">
        <v>2.5918663999999998</v>
      </c>
      <c r="AM12" s="1">
        <v>2.4656118999999999</v>
      </c>
      <c r="AN12" s="1">
        <v>2.3858122000000002</v>
      </c>
      <c r="AO12" s="1">
        <v>2.3411279</v>
      </c>
      <c r="AP12" s="1">
        <v>2.3002362999999999</v>
      </c>
      <c r="AQ12" s="1">
        <v>2.3154047000000002</v>
      </c>
      <c r="AR12" s="1">
        <v>2.2604796999999999</v>
      </c>
      <c r="AS12" s="1">
        <v>2.3555627000000001</v>
      </c>
      <c r="AT12" s="1">
        <v>2.8504038999999999</v>
      </c>
      <c r="AU12" s="1">
        <v>2.9765877999999999</v>
      </c>
      <c r="AV12" s="1">
        <v>3.1379985000000001</v>
      </c>
      <c r="AW12" s="1">
        <v>3.2752332000000002</v>
      </c>
      <c r="AX12" s="1">
        <v>3.2399754999999999</v>
      </c>
      <c r="AY12" s="1">
        <v>3.8503194999999999</v>
      </c>
      <c r="AZ12" s="1">
        <v>3.5935125000000001</v>
      </c>
      <c r="BA12" s="1">
        <f>AVERAGE(AG12:AZ12)</f>
        <v>3.2571055749999998</v>
      </c>
    </row>
    <row r="13" spans="1:55" s="4" customFormat="1" x14ac:dyDescent="0.25">
      <c r="F13" s="5"/>
    </row>
    <row r="15" spans="1:55" x14ac:dyDescent="0.25">
      <c r="D15" s="1" t="s">
        <v>10</v>
      </c>
      <c r="E15" s="2">
        <v>0.90001877965544608</v>
      </c>
      <c r="F15" s="38" t="s">
        <v>39</v>
      </c>
      <c r="G15" s="2">
        <v>641</v>
      </c>
      <c r="H15" s="2">
        <v>0</v>
      </c>
      <c r="I15" s="2" t="s">
        <v>64</v>
      </c>
      <c r="J15">
        <v>0.1330942</v>
      </c>
      <c r="K15">
        <v>0.20632120000000001</v>
      </c>
      <c r="L15">
        <v>0.27106930000000001</v>
      </c>
      <c r="M15">
        <v>0.35643449999999999</v>
      </c>
      <c r="N15">
        <v>0.44028200000000001</v>
      </c>
      <c r="O15">
        <v>0.50050419999999995</v>
      </c>
      <c r="P15">
        <v>0.55395450000000002</v>
      </c>
      <c r="Q15">
        <v>0.58601519999999996</v>
      </c>
      <c r="R15">
        <v>0.60900880000000002</v>
      </c>
      <c r="S15">
        <v>0.62416059999999995</v>
      </c>
      <c r="T15">
        <v>0.63645370000000001</v>
      </c>
      <c r="U15">
        <v>0.65054140000000005</v>
      </c>
      <c r="V15">
        <v>0.65534020000000004</v>
      </c>
      <c r="W15">
        <v>0.6616763</v>
      </c>
      <c r="X15">
        <v>0.66239329999999996</v>
      </c>
      <c r="Y15">
        <v>0.65726269999999998</v>
      </c>
      <c r="Z15">
        <v>0.66732009999999997</v>
      </c>
      <c r="AA15">
        <v>0.67031580000000002</v>
      </c>
      <c r="AB15">
        <v>0.67018</v>
      </c>
      <c r="AC15">
        <v>0.67980079999999998</v>
      </c>
      <c r="AD15" s="1">
        <f>AVERAGE(J15:AC15)</f>
        <v>0.54460643999999991</v>
      </c>
      <c r="AE15" s="1">
        <f>MAX(J15:AC15)</f>
        <v>0.67980079999999998</v>
      </c>
      <c r="AG15">
        <v>5.6844365000000003</v>
      </c>
      <c r="AH15">
        <v>3.8026968000000001</v>
      </c>
      <c r="AI15">
        <v>3.4313959000000001</v>
      </c>
      <c r="AJ15">
        <v>3.0574640999999998</v>
      </c>
      <c r="AK15">
        <v>2.6909633999999998</v>
      </c>
      <c r="AL15">
        <v>2.4778326000000002</v>
      </c>
      <c r="AM15">
        <v>2.3015577999999999</v>
      </c>
      <c r="AN15">
        <v>2.1476654000000002</v>
      </c>
      <c r="AO15">
        <v>2.0272076000000001</v>
      </c>
      <c r="AP15">
        <v>1.977827</v>
      </c>
      <c r="AQ15">
        <v>1.895443</v>
      </c>
      <c r="AR15">
        <v>1.861307</v>
      </c>
      <c r="AS15">
        <v>1.812673</v>
      </c>
      <c r="AT15">
        <v>1.793369</v>
      </c>
      <c r="AU15">
        <v>1.769889</v>
      </c>
      <c r="AV15">
        <v>1.7442040000000001</v>
      </c>
      <c r="AW15">
        <v>1.7207319999999999</v>
      </c>
      <c r="AX15">
        <v>1.7229650000000001</v>
      </c>
      <c r="AY15">
        <v>1.7053259999999999</v>
      </c>
      <c r="AZ15">
        <v>1.701424</v>
      </c>
      <c r="BA15" s="1">
        <f>AVERAGE(AG15:AZ15)</f>
        <v>2.3663189550000001</v>
      </c>
    </row>
    <row r="16" spans="1:55" x14ac:dyDescent="0.25">
      <c r="A16" s="1" t="s">
        <v>38</v>
      </c>
      <c r="B16" s="1">
        <v>641</v>
      </c>
      <c r="D16" s="1" t="s">
        <v>11</v>
      </c>
      <c r="E16" s="2">
        <v>0.68356598954808157</v>
      </c>
      <c r="F16" s="38"/>
      <c r="G16" s="2">
        <v>517</v>
      </c>
      <c r="H16" s="2">
        <v>124</v>
      </c>
      <c r="I16" s="2">
        <v>1217</v>
      </c>
    </row>
    <row r="17" spans="1:54" x14ac:dyDescent="0.25">
      <c r="D17" s="1" t="s">
        <v>9</v>
      </c>
      <c r="E17" s="2"/>
      <c r="F17" s="2"/>
      <c r="G17" s="2">
        <f>B16-H17</f>
        <v>334</v>
      </c>
      <c r="H17" s="2">
        <v>307</v>
      </c>
      <c r="I17" s="2">
        <v>1306</v>
      </c>
      <c r="J17" s="1">
        <v>0.36683009999999999</v>
      </c>
      <c r="K17" s="1">
        <v>0.6524607</v>
      </c>
      <c r="L17" s="1">
        <v>0.79400959999999998</v>
      </c>
      <c r="M17" s="1">
        <v>0.86247629999999997</v>
      </c>
      <c r="N17" s="1">
        <v>0.90710259999999998</v>
      </c>
      <c r="O17" s="1">
        <v>0.93379559999999995</v>
      </c>
      <c r="P17" s="1">
        <v>0.95075849999999995</v>
      </c>
      <c r="Q17" s="1">
        <v>0.9611788</v>
      </c>
      <c r="R17" s="1">
        <v>0.96544850000000004</v>
      </c>
      <c r="S17" s="1">
        <v>0.97187590000000001</v>
      </c>
      <c r="T17" s="1">
        <v>0.9816513</v>
      </c>
      <c r="U17" s="1">
        <v>0.98168319999999998</v>
      </c>
      <c r="V17" s="1">
        <v>0.98336860000000004</v>
      </c>
      <c r="W17" s="1">
        <v>0.98658749999999995</v>
      </c>
      <c r="X17" s="1">
        <v>0.98605039999999999</v>
      </c>
      <c r="Y17" s="1">
        <v>0.98945079999999996</v>
      </c>
      <c r="Z17" s="1">
        <v>0.98965760000000003</v>
      </c>
      <c r="AA17" s="1">
        <v>0.99013010000000001</v>
      </c>
      <c r="AB17" s="1">
        <v>0.99048639999999999</v>
      </c>
      <c r="AC17" s="1">
        <v>0.98985800000000002</v>
      </c>
      <c r="AD17" s="1">
        <f>AVERAGE(J17:AC17)</f>
        <v>0.91174302500000004</v>
      </c>
      <c r="AG17" s="1">
        <v>7.8650777999999999</v>
      </c>
      <c r="AH17" s="1">
        <v>4.5690765999999998</v>
      </c>
      <c r="AI17" s="1">
        <v>3.4965733999999999</v>
      </c>
      <c r="AJ17" s="1">
        <v>3.0339040000000002</v>
      </c>
      <c r="AK17" s="1">
        <v>2.7514460000000001</v>
      </c>
      <c r="AL17" s="1">
        <v>2.5650369</v>
      </c>
      <c r="AM17" s="1">
        <v>2.4445711999999999</v>
      </c>
      <c r="AN17" s="1">
        <v>2.3819682000000002</v>
      </c>
      <c r="AO17" s="1">
        <v>2.3776600999999999</v>
      </c>
      <c r="AP17" s="1">
        <v>2.3720306999999998</v>
      </c>
      <c r="AQ17" s="1">
        <v>2.3565488000000001</v>
      </c>
      <c r="AR17" s="1">
        <v>2.5674096999999998</v>
      </c>
      <c r="AS17" s="1">
        <v>2.7451500000000002</v>
      </c>
      <c r="AT17" s="1">
        <v>2.8358452000000001</v>
      </c>
      <c r="AU17" s="1">
        <v>2.9181940000000002</v>
      </c>
      <c r="AV17" s="1">
        <v>2.8642989999999999</v>
      </c>
      <c r="AW17" s="1">
        <v>3.0746416999999999</v>
      </c>
      <c r="AX17" s="1">
        <v>3.000102</v>
      </c>
      <c r="AY17" s="1">
        <v>3.9124840999999999</v>
      </c>
      <c r="AZ17" s="1">
        <v>4.6723622000000002</v>
      </c>
      <c r="BA17" s="1">
        <f>AVERAGE(AG17:AZ17)</f>
        <v>3.2402190800000001</v>
      </c>
    </row>
    <row r="18" spans="1:54" x14ac:dyDescent="0.25">
      <c r="E18" s="2"/>
      <c r="F18" s="2"/>
      <c r="G18" s="2"/>
      <c r="H18" s="2"/>
      <c r="I18" s="2"/>
    </row>
    <row r="19" spans="1:54" s="4" customFormat="1" x14ac:dyDescent="0.25">
      <c r="F19" s="5"/>
    </row>
    <row r="20" spans="1:54" x14ac:dyDescent="0.25">
      <c r="D20" s="1" t="s">
        <v>10</v>
      </c>
      <c r="E20" s="1">
        <v>0.83384128680750658</v>
      </c>
      <c r="F20" s="38" t="s">
        <v>61</v>
      </c>
      <c r="G20" s="2">
        <v>500</v>
      </c>
      <c r="H20" s="2">
        <v>0</v>
      </c>
      <c r="I20" s="2">
        <v>48144</v>
      </c>
      <c r="J20">
        <v>0.32870779999999999</v>
      </c>
      <c r="K20">
        <v>0.43966909999999998</v>
      </c>
      <c r="L20" s="1">
        <v>0.52503351955307265</v>
      </c>
      <c r="AD20" s="1">
        <f>AVERAGE(J20:L20)</f>
        <v>0.43113680651769087</v>
      </c>
      <c r="AE20" s="1">
        <f>MAX(J20:L20)</f>
        <v>0.52503351955307265</v>
      </c>
      <c r="AG20">
        <v>4.1377693999999998</v>
      </c>
      <c r="AH20">
        <v>2.7142544000000002</v>
      </c>
      <c r="AI20" s="1">
        <v>2.2251067415730339</v>
      </c>
      <c r="BA20" s="1">
        <f>AVERAGE(AG20:AI20)</f>
        <v>3.0257101805243445</v>
      </c>
    </row>
    <row r="21" spans="1:54" x14ac:dyDescent="0.25">
      <c r="A21" s="1" t="s">
        <v>60</v>
      </c>
      <c r="B21" s="1">
        <v>500</v>
      </c>
      <c r="D21" s="1" t="s">
        <v>11</v>
      </c>
      <c r="E21" s="1">
        <v>0.73573590488311169</v>
      </c>
      <c r="F21" s="38"/>
      <c r="G21" s="2">
        <v>499</v>
      </c>
      <c r="H21" s="2">
        <v>1</v>
      </c>
      <c r="I21" s="2">
        <v>6705</v>
      </c>
    </row>
    <row r="22" spans="1:54" x14ac:dyDescent="0.25">
      <c r="D22" s="1" t="s">
        <v>9</v>
      </c>
      <c r="G22" s="2">
        <f>500-171</f>
        <v>329</v>
      </c>
      <c r="H22" s="2">
        <v>171</v>
      </c>
      <c r="I22" s="2">
        <v>1586</v>
      </c>
      <c r="J22" s="1">
        <v>0.3669982</v>
      </c>
      <c r="K22" s="1">
        <v>0.57683519999999999</v>
      </c>
      <c r="L22" s="1">
        <v>0.7008548</v>
      </c>
      <c r="M22" s="1">
        <v>0.77554279999999998</v>
      </c>
      <c r="N22" s="1">
        <v>0.82631080000000001</v>
      </c>
      <c r="O22" s="1">
        <v>0.86551679999999998</v>
      </c>
      <c r="P22" s="1">
        <v>0.8946847</v>
      </c>
      <c r="Q22" s="1">
        <v>0.90990389999999999</v>
      </c>
      <c r="R22" s="1">
        <v>0.93213590000000002</v>
      </c>
      <c r="S22" s="1">
        <v>0.94036750000000002</v>
      </c>
      <c r="T22" s="1">
        <v>0.95355080000000003</v>
      </c>
      <c r="U22" s="1">
        <v>0.95894509999999999</v>
      </c>
      <c r="V22" s="1">
        <v>0.9647038</v>
      </c>
      <c r="W22" s="1">
        <v>0.97155400000000003</v>
      </c>
      <c r="X22" s="1">
        <v>0.97625910000000005</v>
      </c>
      <c r="Y22" s="1">
        <v>0.97843749999999996</v>
      </c>
      <c r="Z22" s="1">
        <v>0.98114460000000003</v>
      </c>
      <c r="AA22" s="1">
        <v>0.98195160000000004</v>
      </c>
      <c r="AB22" s="1">
        <v>0.98245610000000005</v>
      </c>
      <c r="AC22" s="1">
        <v>0.98599420000000004</v>
      </c>
      <c r="AD22" s="1">
        <f>AVERAGE(J22:AC22)</f>
        <v>0.87620737000000004</v>
      </c>
      <c r="AG22" s="1">
        <v>8.0826943</v>
      </c>
      <c r="AH22" s="1">
        <v>4.5545483999999998</v>
      </c>
      <c r="AI22" s="1">
        <v>3.7245316000000002</v>
      </c>
      <c r="AJ22" s="1">
        <v>3.2534641999999998</v>
      </c>
      <c r="AK22" s="1">
        <v>2.9001315000000001</v>
      </c>
      <c r="AL22" s="1">
        <v>2.6838331000000002</v>
      </c>
      <c r="AM22" s="1">
        <v>2.5183485999999999</v>
      </c>
      <c r="AN22" s="1">
        <v>2.4271044000000002</v>
      </c>
      <c r="AO22" s="1">
        <v>2.3244766000000001</v>
      </c>
      <c r="AP22" s="1">
        <v>2.2719092999999999</v>
      </c>
      <c r="AQ22" s="1">
        <v>2.2144498000000001</v>
      </c>
      <c r="AR22" s="1">
        <v>2.1836061</v>
      </c>
      <c r="AS22" s="1">
        <v>2.1479086000000001</v>
      </c>
      <c r="AT22" s="1">
        <v>2.1047593999999998</v>
      </c>
      <c r="AU22" s="1">
        <v>2.0869811</v>
      </c>
      <c r="AV22" s="1">
        <v>2.0662626999999998</v>
      </c>
      <c r="AW22" s="1">
        <v>2.0599588</v>
      </c>
      <c r="AX22" s="1">
        <v>2.0462817000000002</v>
      </c>
      <c r="AY22" s="1">
        <v>2.0348958000000001</v>
      </c>
      <c r="AZ22" s="1">
        <v>2.0186937999999999</v>
      </c>
      <c r="BA22" s="1">
        <f>AVERAGE(AG22:AZ22)</f>
        <v>2.7852419900000003</v>
      </c>
    </row>
    <row r="24" spans="1:54" s="4" customFormat="1" x14ac:dyDescent="0.25">
      <c r="F24" s="5"/>
    </row>
    <row r="26" spans="1:54" x14ac:dyDescent="0.25">
      <c r="A26" s="1" t="s">
        <v>302</v>
      </c>
      <c r="B26" s="1">
        <v>56</v>
      </c>
      <c r="D26" s="1" t="s">
        <v>10</v>
      </c>
      <c r="E26" s="1">
        <v>0.91004687345949298</v>
      </c>
      <c r="F26" s="38">
        <v>79</v>
      </c>
      <c r="G26" s="1">
        <v>56</v>
      </c>
      <c r="H26" s="1">
        <v>0</v>
      </c>
      <c r="I26" s="1">
        <v>675</v>
      </c>
      <c r="J26">
        <v>3.0859000000000001E-2</v>
      </c>
      <c r="K26">
        <v>0.15677849999999999</v>
      </c>
      <c r="L26">
        <v>0.1818594</v>
      </c>
      <c r="M26">
        <v>0.2179102</v>
      </c>
      <c r="N26">
        <v>0.24575920000000001</v>
      </c>
      <c r="O26">
        <v>0.29147650000000003</v>
      </c>
      <c r="P26">
        <v>0.33690389999999998</v>
      </c>
      <c r="Q26">
        <v>0.36871989999999999</v>
      </c>
      <c r="R26">
        <v>0.42452200000000001</v>
      </c>
      <c r="S26">
        <v>0.44136930000000002</v>
      </c>
      <c r="T26">
        <v>0.45302229999999999</v>
      </c>
      <c r="U26">
        <v>0.48174860000000003</v>
      </c>
      <c r="V26">
        <v>0.50729659999999999</v>
      </c>
      <c r="W26">
        <v>0.53947990000000001</v>
      </c>
      <c r="X26">
        <v>0.5504327</v>
      </c>
      <c r="Y26">
        <v>0.57591049999999999</v>
      </c>
      <c r="Z26">
        <v>0.60255449999999999</v>
      </c>
      <c r="AA26">
        <v>0.59615799999999997</v>
      </c>
      <c r="AB26">
        <v>0.62561460000000002</v>
      </c>
      <c r="AC26">
        <v>0.6235096</v>
      </c>
      <c r="AD26" s="1">
        <f>AVERAGE(J26:AC26)</f>
        <v>0.41259425999999999</v>
      </c>
      <c r="AE26" s="1">
        <f>MAX(J26:AC26)</f>
        <v>0.62561460000000002</v>
      </c>
      <c r="AG26">
        <v>10.076248400000001</v>
      </c>
      <c r="AH26">
        <v>5.4300455999999997</v>
      </c>
      <c r="AI26">
        <v>4.7144139000000003</v>
      </c>
      <c r="AJ26">
        <v>4.4578844000000002</v>
      </c>
      <c r="AK26">
        <v>4.2886945000000001</v>
      </c>
      <c r="AL26">
        <v>4.2287653000000001</v>
      </c>
      <c r="AM26">
        <v>4.2500793000000003</v>
      </c>
      <c r="AN26">
        <v>4.3158911</v>
      </c>
      <c r="AO26">
        <v>4.3103426000000002</v>
      </c>
      <c r="AP26">
        <v>4.2476643999999997</v>
      </c>
      <c r="AQ26">
        <v>3.7804039</v>
      </c>
      <c r="AR26">
        <v>3.6918513000000002</v>
      </c>
      <c r="AS26">
        <v>3.6195487000000002</v>
      </c>
      <c r="AT26">
        <v>3.5322371000000001</v>
      </c>
      <c r="AU26">
        <v>3.5566895999999999</v>
      </c>
      <c r="AV26">
        <v>3.3447529999999999</v>
      </c>
      <c r="AW26">
        <v>3.2966783</v>
      </c>
      <c r="AX26">
        <v>3.1474671000000001</v>
      </c>
      <c r="AY26">
        <v>3.2511247000000001</v>
      </c>
      <c r="AZ26">
        <v>3.1817281999999998</v>
      </c>
      <c r="BA26" s="1">
        <f>AVERAGE(AG26:AZ26)</f>
        <v>4.2361255700000005</v>
      </c>
      <c r="BB26" s="1">
        <f>MIN(AG26:AZ26)</f>
        <v>3.1474671000000001</v>
      </c>
    </row>
    <row r="27" spans="1:54" x14ac:dyDescent="0.25">
      <c r="D27" s="1" t="s">
        <v>11</v>
      </c>
      <c r="E27" s="1">
        <v>0.75218971973060156</v>
      </c>
      <c r="F27" s="38"/>
      <c r="G27" s="1">
        <v>49</v>
      </c>
      <c r="H27" s="1">
        <v>8</v>
      </c>
      <c r="I27" s="2">
        <v>102</v>
      </c>
    </row>
  </sheetData>
  <mergeCells count="7">
    <mergeCell ref="F26:F27"/>
    <mergeCell ref="AG1:AZ1"/>
    <mergeCell ref="F3:F4"/>
    <mergeCell ref="F10:F11"/>
    <mergeCell ref="F15:F16"/>
    <mergeCell ref="F20:F21"/>
    <mergeCell ref="J1:A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1"/>
  <sheetViews>
    <sheetView topLeftCell="H1" workbookViewId="0">
      <selection activeCell="O3" sqref="O3:R8"/>
    </sheetView>
  </sheetViews>
  <sheetFormatPr defaultColWidth="9.140625" defaultRowHeight="15" x14ac:dyDescent="0.25"/>
  <cols>
    <col min="1" max="1" width="10.42578125" style="2" bestFit="1" customWidth="1"/>
    <col min="2" max="2" width="10.7109375" style="2" bestFit="1" customWidth="1"/>
    <col min="3" max="4" width="12" style="2" bestFit="1" customWidth="1"/>
    <col min="5" max="5" width="25" style="2" bestFit="1" customWidth="1"/>
    <col min="6" max="6" width="25" style="2" customWidth="1"/>
    <col min="7" max="7" width="40.85546875" style="2" bestFit="1" customWidth="1"/>
    <col min="8" max="8" width="9.140625" style="2"/>
    <col min="9" max="9" width="14.85546875" style="2" bestFit="1" customWidth="1"/>
    <col min="10" max="10" width="40.85546875" style="2" bestFit="1" customWidth="1"/>
    <col min="11" max="11" width="8.140625" style="2" bestFit="1" customWidth="1"/>
    <col min="12" max="13" width="40.85546875" style="2" bestFit="1" customWidth="1"/>
    <col min="14" max="14" width="38.85546875" style="2" bestFit="1" customWidth="1"/>
    <col min="15" max="15" width="23.85546875" style="2" bestFit="1" customWidth="1"/>
    <col min="16" max="16384" width="9.140625" style="2"/>
  </cols>
  <sheetData>
    <row r="1" spans="1:20" x14ac:dyDescent="0.25">
      <c r="A1" s="2" t="s">
        <v>69</v>
      </c>
      <c r="F1" s="2" t="s">
        <v>70</v>
      </c>
      <c r="I1" s="2" t="s">
        <v>38</v>
      </c>
      <c r="J1" s="2" t="s">
        <v>40</v>
      </c>
      <c r="K1" s="2" t="s">
        <v>13</v>
      </c>
      <c r="L1" s="2" t="s">
        <v>25</v>
      </c>
      <c r="M1" s="2" t="s">
        <v>16</v>
      </c>
      <c r="N1" s="2" t="s">
        <v>81</v>
      </c>
      <c r="O1" s="2" t="s">
        <v>277</v>
      </c>
      <c r="P1" s="2" t="s">
        <v>278</v>
      </c>
      <c r="Q1" s="2" t="s">
        <v>279</v>
      </c>
      <c r="R1" s="2" t="s">
        <v>280</v>
      </c>
      <c r="S1" s="2" t="s">
        <v>212</v>
      </c>
      <c r="T1" s="2" t="s">
        <v>281</v>
      </c>
    </row>
    <row r="2" spans="1:20" x14ac:dyDescent="0.25">
      <c r="B2" s="2" t="s">
        <v>78</v>
      </c>
      <c r="C2" s="2" t="s">
        <v>79</v>
      </c>
      <c r="D2" s="2" t="s">
        <v>80</v>
      </c>
      <c r="E2" s="2" t="s">
        <v>71</v>
      </c>
      <c r="G2" s="2" t="s">
        <v>18</v>
      </c>
      <c r="J2" s="2" t="s">
        <v>41</v>
      </c>
      <c r="L2" s="2" t="s">
        <v>82</v>
      </c>
      <c r="M2" s="2" t="s">
        <v>83</v>
      </c>
      <c r="N2" s="2" t="s">
        <v>84</v>
      </c>
      <c r="O2" s="2" t="s">
        <v>282</v>
      </c>
      <c r="P2" s="2" t="s">
        <v>283</v>
      </c>
    </row>
    <row r="3" spans="1:20" x14ac:dyDescent="0.25">
      <c r="B3" s="2" t="s">
        <v>72</v>
      </c>
      <c r="C3" s="2">
        <v>0.44031830238726699</v>
      </c>
      <c r="D3" s="2">
        <v>9.1158704008786298E-2</v>
      </c>
      <c r="E3" s="2">
        <v>0.15104640582347501</v>
      </c>
      <c r="G3" s="2" t="s">
        <v>19</v>
      </c>
      <c r="J3" s="2" t="s">
        <v>42</v>
      </c>
      <c r="L3" s="2" t="s">
        <v>85</v>
      </c>
      <c r="M3" s="2" t="s">
        <v>86</v>
      </c>
      <c r="N3" s="2" t="s">
        <v>87</v>
      </c>
      <c r="O3" s="2" t="s">
        <v>273</v>
      </c>
      <c r="P3" s="2">
        <v>42.9</v>
      </c>
      <c r="Q3" s="2">
        <v>27.8</v>
      </c>
      <c r="R3" s="2">
        <v>33.700000000000003</v>
      </c>
    </row>
    <row r="4" spans="1:20" x14ac:dyDescent="0.25">
      <c r="B4" s="2" t="s">
        <v>73</v>
      </c>
      <c r="C4" s="2">
        <v>0.14713216957605901</v>
      </c>
      <c r="D4" s="2">
        <v>0.129599121361889</v>
      </c>
      <c r="E4" s="2">
        <v>0.137810218978102</v>
      </c>
      <c r="G4" s="2" t="s">
        <v>20</v>
      </c>
      <c r="J4" s="2" t="s">
        <v>43</v>
      </c>
      <c r="L4" s="2" t="s">
        <v>88</v>
      </c>
      <c r="M4" s="2" t="s">
        <v>89</v>
      </c>
      <c r="N4" s="2" t="s">
        <v>90</v>
      </c>
      <c r="O4" s="2" t="s">
        <v>274</v>
      </c>
      <c r="P4" s="2">
        <v>34.299999999999997</v>
      </c>
      <c r="Q4" s="2">
        <v>12.8</v>
      </c>
      <c r="R4" s="2">
        <v>18.600000000000001</v>
      </c>
    </row>
    <row r="5" spans="1:20" x14ac:dyDescent="0.25">
      <c r="B5" s="2" t="s">
        <v>74</v>
      </c>
      <c r="C5" s="2">
        <v>0.28652138821630302</v>
      </c>
      <c r="D5" s="2">
        <v>0.19604612850082301</v>
      </c>
      <c r="E5" s="2">
        <v>0.23280227925251901</v>
      </c>
      <c r="G5" s="2" t="s">
        <v>21</v>
      </c>
      <c r="J5" s="2" t="s">
        <v>21</v>
      </c>
      <c r="L5" s="2" t="s">
        <v>21</v>
      </c>
      <c r="M5" s="2" t="s">
        <v>21</v>
      </c>
      <c r="N5" s="2" t="s">
        <v>21</v>
      </c>
      <c r="O5" s="2" t="s">
        <v>275</v>
      </c>
      <c r="P5" s="2">
        <v>31.1</v>
      </c>
      <c r="Q5" s="2">
        <v>21.4</v>
      </c>
      <c r="R5" s="2">
        <v>25.3</v>
      </c>
    </row>
    <row r="6" spans="1:20" x14ac:dyDescent="0.25">
      <c r="B6" s="2" t="s">
        <v>67</v>
      </c>
      <c r="C6" s="2">
        <v>0.22023809523809501</v>
      </c>
      <c r="D6" s="2">
        <v>6.1504667764964299E-2</v>
      </c>
      <c r="E6" s="2">
        <v>9.6156300395623701E-2</v>
      </c>
      <c r="G6" s="2" t="s">
        <v>22</v>
      </c>
      <c r="J6" s="2" t="s">
        <v>44</v>
      </c>
      <c r="L6" s="2" t="s">
        <v>91</v>
      </c>
      <c r="M6" s="2" t="s">
        <v>92</v>
      </c>
      <c r="N6" s="2" t="s">
        <v>93</v>
      </c>
      <c r="O6" s="2" t="s">
        <v>66</v>
      </c>
      <c r="P6" s="2">
        <v>39.200000000000003</v>
      </c>
      <c r="Q6" s="2">
        <v>16.100000000000001</v>
      </c>
      <c r="R6" s="2">
        <v>22.8</v>
      </c>
    </row>
    <row r="7" spans="1:20" x14ac:dyDescent="0.25">
      <c r="B7" s="2" t="s">
        <v>65</v>
      </c>
      <c r="C7" s="2">
        <v>0.19899244332493701</v>
      </c>
      <c r="D7" s="2">
        <v>8.7314662273476104E-2</v>
      </c>
      <c r="E7" s="2">
        <v>0.121372873003449</v>
      </c>
      <c r="G7" s="2" t="s">
        <v>23</v>
      </c>
      <c r="J7" s="2" t="s">
        <v>45</v>
      </c>
      <c r="L7" s="2" t="s">
        <v>94</v>
      </c>
      <c r="M7" s="2" t="s">
        <v>95</v>
      </c>
      <c r="N7" s="2" t="s">
        <v>96</v>
      </c>
      <c r="O7" s="2" t="s">
        <v>276</v>
      </c>
      <c r="P7" s="2">
        <v>40.299999999999997</v>
      </c>
      <c r="Q7" s="2">
        <v>19</v>
      </c>
      <c r="R7" s="2">
        <v>26.2</v>
      </c>
    </row>
    <row r="8" spans="1:20" x14ac:dyDescent="0.25">
      <c r="B8" s="2" t="s">
        <v>75</v>
      </c>
      <c r="C8" s="2">
        <v>0.14511041009463699</v>
      </c>
      <c r="D8" s="2">
        <v>5.0521691378363501E-2</v>
      </c>
      <c r="E8" s="2">
        <v>7.4949083503054903E-2</v>
      </c>
      <c r="G8" s="2" t="s">
        <v>24</v>
      </c>
      <c r="J8" s="2" t="s">
        <v>46</v>
      </c>
      <c r="L8" s="2" t="s">
        <v>97</v>
      </c>
      <c r="M8" s="2" t="s">
        <v>98</v>
      </c>
      <c r="N8" s="2" t="s">
        <v>99</v>
      </c>
      <c r="P8" s="2" t="s">
        <v>284</v>
      </c>
      <c r="Q8" s="2" t="s">
        <v>285</v>
      </c>
      <c r="R8" s="2" t="s">
        <v>286</v>
      </c>
    </row>
    <row r="9" spans="1:20" x14ac:dyDescent="0.25">
      <c r="B9" s="2" t="s">
        <v>76</v>
      </c>
      <c r="C9" s="2">
        <v>0.172463768115942</v>
      </c>
      <c r="D9" s="2">
        <v>6.5348709500274493E-2</v>
      </c>
      <c r="E9" s="2">
        <v>9.4782954998008706E-2</v>
      </c>
      <c r="G9" s="2" t="s">
        <v>21</v>
      </c>
      <c r="J9" s="2" t="s">
        <v>21</v>
      </c>
      <c r="L9" s="2" t="s">
        <v>21</v>
      </c>
      <c r="M9" s="2" t="s">
        <v>21</v>
      </c>
      <c r="N9" s="2" t="s">
        <v>21</v>
      </c>
    </row>
    <row r="10" spans="1:20" x14ac:dyDescent="0.25">
      <c r="B10" s="2" t="s">
        <v>77</v>
      </c>
      <c r="C10" s="2">
        <v>4.9378200438917302E-2</v>
      </c>
      <c r="D10" s="2">
        <v>7.4135090609555102E-2</v>
      </c>
      <c r="E10" s="2">
        <v>5.9275521405049297E-2</v>
      </c>
      <c r="G10" s="2" t="s">
        <v>25</v>
      </c>
      <c r="J10" s="2" t="s">
        <v>25</v>
      </c>
      <c r="L10" s="2" t="s">
        <v>100</v>
      </c>
      <c r="M10" s="2" t="s">
        <v>101</v>
      </c>
      <c r="N10" s="2" t="s">
        <v>102</v>
      </c>
    </row>
    <row r="11" spans="1:20" x14ac:dyDescent="0.25">
      <c r="L11" s="2" t="s">
        <v>103</v>
      </c>
      <c r="M11" s="2" t="s">
        <v>104</v>
      </c>
      <c r="N11" s="2" t="s">
        <v>105</v>
      </c>
    </row>
    <row r="12" spans="1:20" x14ac:dyDescent="0.25">
      <c r="G12" s="2" t="s">
        <v>26</v>
      </c>
      <c r="J12" s="2" t="s">
        <v>47</v>
      </c>
      <c r="L12" s="2" t="s">
        <v>106</v>
      </c>
      <c r="M12" s="2" t="s">
        <v>107</v>
      </c>
      <c r="N12" s="2" t="s">
        <v>108</v>
      </c>
    </row>
    <row r="13" spans="1:20" x14ac:dyDescent="0.25">
      <c r="G13" s="2" t="s">
        <v>27</v>
      </c>
      <c r="J13" s="2" t="s">
        <v>48</v>
      </c>
      <c r="L13" s="2" t="s">
        <v>21</v>
      </c>
      <c r="M13" s="2" t="s">
        <v>21</v>
      </c>
      <c r="N13" s="2" t="s">
        <v>21</v>
      </c>
    </row>
    <row r="14" spans="1:20" x14ac:dyDescent="0.25">
      <c r="G14" s="2" t="s">
        <v>28</v>
      </c>
      <c r="J14" s="2" t="s">
        <v>49</v>
      </c>
      <c r="L14" s="7" t="s">
        <v>109</v>
      </c>
      <c r="M14" s="7" t="s">
        <v>110</v>
      </c>
      <c r="N14" s="7" t="s">
        <v>111</v>
      </c>
    </row>
    <row r="15" spans="1:20" x14ac:dyDescent="0.25">
      <c r="G15" s="2" t="s">
        <v>21</v>
      </c>
      <c r="J15" s="2" t="s">
        <v>21</v>
      </c>
      <c r="L15" s="7" t="s">
        <v>112</v>
      </c>
      <c r="M15" s="7" t="s">
        <v>113</v>
      </c>
      <c r="N15" s="7" t="s">
        <v>114</v>
      </c>
    </row>
    <row r="16" spans="1:20" x14ac:dyDescent="0.25">
      <c r="G16" s="2" t="s">
        <v>29</v>
      </c>
      <c r="J16" s="2" t="s">
        <v>50</v>
      </c>
      <c r="L16" s="7" t="s">
        <v>115</v>
      </c>
      <c r="M16" s="7" t="s">
        <v>116</v>
      </c>
      <c r="N16" s="7" t="s">
        <v>117</v>
      </c>
    </row>
    <row r="17" spans="7:14" x14ac:dyDescent="0.25">
      <c r="G17" s="2" t="s">
        <v>30</v>
      </c>
      <c r="J17" s="2" t="s">
        <v>51</v>
      </c>
      <c r="L17" s="2" t="s">
        <v>21</v>
      </c>
      <c r="M17" s="2" t="s">
        <v>21</v>
      </c>
      <c r="N17" s="2" t="s">
        <v>21</v>
      </c>
    </row>
    <row r="18" spans="7:14" x14ac:dyDescent="0.25">
      <c r="G18" s="2" t="s">
        <v>31</v>
      </c>
      <c r="J18" s="2" t="s">
        <v>52</v>
      </c>
      <c r="L18" s="2" t="s">
        <v>118</v>
      </c>
      <c r="M18" s="2" t="s">
        <v>119</v>
      </c>
      <c r="N18" s="2" t="s">
        <v>120</v>
      </c>
    </row>
    <row r="19" spans="7:14" x14ac:dyDescent="0.25">
      <c r="G19" s="2" t="s">
        <v>21</v>
      </c>
      <c r="J19" s="2" t="s">
        <v>21</v>
      </c>
      <c r="L19" s="2" t="s">
        <v>121</v>
      </c>
      <c r="M19" s="2" t="s">
        <v>122</v>
      </c>
      <c r="N19" s="2" t="s">
        <v>123</v>
      </c>
    </row>
    <row r="20" spans="7:14" x14ac:dyDescent="0.25">
      <c r="G20" s="2" t="s">
        <v>16</v>
      </c>
      <c r="J20" s="2" t="s">
        <v>16</v>
      </c>
      <c r="L20" s="2" t="s">
        <v>124</v>
      </c>
      <c r="M20" s="2" t="s">
        <v>125</v>
      </c>
      <c r="N20" s="2" t="s">
        <v>126</v>
      </c>
    </row>
    <row r="21" spans="7:14" x14ac:dyDescent="0.25">
      <c r="L21" s="2" t="s">
        <v>21</v>
      </c>
      <c r="M21" s="2" t="s">
        <v>21</v>
      </c>
      <c r="N21" s="2" t="s">
        <v>21</v>
      </c>
    </row>
    <row r="22" spans="7:14" x14ac:dyDescent="0.25">
      <c r="G22" s="2" t="s">
        <v>32</v>
      </c>
      <c r="J22" s="2" t="s">
        <v>53</v>
      </c>
      <c r="L22" s="2" t="s">
        <v>127</v>
      </c>
      <c r="M22" s="2" t="s">
        <v>128</v>
      </c>
      <c r="N22" s="2" t="s">
        <v>129</v>
      </c>
    </row>
    <row r="23" spans="7:14" x14ac:dyDescent="0.25">
      <c r="G23" s="2" t="s">
        <v>33</v>
      </c>
      <c r="J23" s="2" t="s">
        <v>54</v>
      </c>
      <c r="L23" s="2" t="s">
        <v>130</v>
      </c>
      <c r="M23" s="2" t="s">
        <v>131</v>
      </c>
      <c r="N23" s="2" t="s">
        <v>132</v>
      </c>
    </row>
    <row r="24" spans="7:14" x14ac:dyDescent="0.25">
      <c r="G24" s="2" t="s">
        <v>34</v>
      </c>
      <c r="J24" s="2" t="s">
        <v>55</v>
      </c>
      <c r="L24" s="2" t="s">
        <v>133</v>
      </c>
      <c r="M24" s="2" t="s">
        <v>134</v>
      </c>
      <c r="N24" s="2" t="s">
        <v>135</v>
      </c>
    </row>
    <row r="25" spans="7:14" x14ac:dyDescent="0.25">
      <c r="G25" s="2" t="s">
        <v>21</v>
      </c>
      <c r="J25" s="2" t="s">
        <v>21</v>
      </c>
      <c r="L25" s="2" t="s">
        <v>21</v>
      </c>
      <c r="M25" s="2" t="s">
        <v>21</v>
      </c>
      <c r="N25" s="2" t="s">
        <v>21</v>
      </c>
    </row>
    <row r="26" spans="7:14" x14ac:dyDescent="0.25">
      <c r="G26" s="2" t="s">
        <v>35</v>
      </c>
      <c r="J26" s="2" t="s">
        <v>56</v>
      </c>
      <c r="L26" s="2" t="s">
        <v>136</v>
      </c>
      <c r="M26" s="2" t="s">
        <v>137</v>
      </c>
      <c r="N26" s="2" t="s">
        <v>138</v>
      </c>
    </row>
    <row r="27" spans="7:14" x14ac:dyDescent="0.25">
      <c r="G27" s="2" t="s">
        <v>36</v>
      </c>
      <c r="J27" s="2" t="s">
        <v>57</v>
      </c>
      <c r="L27" s="2" t="s">
        <v>139</v>
      </c>
      <c r="M27" s="2" t="s">
        <v>140</v>
      </c>
      <c r="N27" s="2" t="s">
        <v>141</v>
      </c>
    </row>
    <row r="28" spans="7:14" x14ac:dyDescent="0.25">
      <c r="G28" s="2" t="s">
        <v>37</v>
      </c>
      <c r="J28" s="2" t="s">
        <v>58</v>
      </c>
      <c r="L28" s="2" t="s">
        <v>142</v>
      </c>
      <c r="M28" s="2" t="s">
        <v>143</v>
      </c>
      <c r="N28" s="2" t="s">
        <v>144</v>
      </c>
    </row>
    <row r="29" spans="7:14" x14ac:dyDescent="0.25">
      <c r="G29" s="2" t="s">
        <v>21</v>
      </c>
      <c r="L29" s="2" t="s">
        <v>21</v>
      </c>
      <c r="M29" s="2" t="s">
        <v>21</v>
      </c>
      <c r="N29" s="2" t="s">
        <v>21</v>
      </c>
    </row>
    <row r="30" spans="7:14" x14ac:dyDescent="0.25">
      <c r="L30" s="2" t="s">
        <v>145</v>
      </c>
      <c r="M30" s="2" t="s">
        <v>146</v>
      </c>
      <c r="N30" s="2" t="s">
        <v>147</v>
      </c>
    </row>
    <row r="31" spans="7:14" x14ac:dyDescent="0.25">
      <c r="L31" s="2" t="s">
        <v>148</v>
      </c>
      <c r="M31" s="2" t="s">
        <v>149</v>
      </c>
      <c r="N31" s="2" t="s">
        <v>150</v>
      </c>
    </row>
    <row r="32" spans="7:14" x14ac:dyDescent="0.25">
      <c r="L32" s="2" t="s">
        <v>151</v>
      </c>
      <c r="M32" s="2" t="s">
        <v>152</v>
      </c>
      <c r="N32" s="2" t="s">
        <v>153</v>
      </c>
    </row>
    <row r="33" spans="12:14" x14ac:dyDescent="0.25">
      <c r="L33" s="2" t="s">
        <v>21</v>
      </c>
      <c r="M33" s="2" t="s">
        <v>21</v>
      </c>
      <c r="N33" s="2" t="s">
        <v>21</v>
      </c>
    </row>
    <row r="34" spans="12:14" x14ac:dyDescent="0.25">
      <c r="L34" s="2" t="s">
        <v>154</v>
      </c>
      <c r="M34" s="2" t="s">
        <v>155</v>
      </c>
      <c r="N34" s="2" t="s">
        <v>156</v>
      </c>
    </row>
    <row r="35" spans="12:14" x14ac:dyDescent="0.25">
      <c r="L35" s="2" t="s">
        <v>157</v>
      </c>
      <c r="M35" s="2" t="s">
        <v>158</v>
      </c>
      <c r="N35" s="2" t="s">
        <v>159</v>
      </c>
    </row>
    <row r="36" spans="12:14" x14ac:dyDescent="0.25">
      <c r="L36" s="2" t="s">
        <v>160</v>
      </c>
      <c r="M36" s="2" t="s">
        <v>161</v>
      </c>
      <c r="N36" s="2" t="s">
        <v>162</v>
      </c>
    </row>
    <row r="37" spans="12:14" x14ac:dyDescent="0.25">
      <c r="L37" s="2" t="s">
        <v>21</v>
      </c>
      <c r="M37" s="2" t="s">
        <v>21</v>
      </c>
      <c r="N37" s="2" t="s">
        <v>21</v>
      </c>
    </row>
    <row r="38" spans="12:14" x14ac:dyDescent="0.25">
      <c r="L38" s="2" t="s">
        <v>163</v>
      </c>
      <c r="M38" s="2" t="s">
        <v>164</v>
      </c>
      <c r="N38" s="2" t="s">
        <v>165</v>
      </c>
    </row>
    <row r="39" spans="12:14" x14ac:dyDescent="0.25">
      <c r="L39" s="2" t="s">
        <v>166</v>
      </c>
      <c r="M39" s="2" t="s">
        <v>167</v>
      </c>
      <c r="N39" s="2" t="s">
        <v>168</v>
      </c>
    </row>
    <row r="40" spans="12:14" x14ac:dyDescent="0.25">
      <c r="L40" s="2" t="s">
        <v>169</v>
      </c>
      <c r="M40" s="2" t="s">
        <v>170</v>
      </c>
      <c r="N40" s="2" t="s">
        <v>171</v>
      </c>
    </row>
    <row r="41" spans="12:14" x14ac:dyDescent="0.25">
      <c r="L41" s="2" t="s">
        <v>21</v>
      </c>
      <c r="M41" s="2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8"/>
  <sheetViews>
    <sheetView workbookViewId="0">
      <selection activeCell="F11" sqref="F11"/>
    </sheetView>
  </sheetViews>
  <sheetFormatPr defaultRowHeight="15" x14ac:dyDescent="0.25"/>
  <cols>
    <col min="1" max="1" width="35.5703125" bestFit="1" customWidth="1"/>
    <col min="8" max="8" width="10" bestFit="1" customWidth="1"/>
    <col min="9" max="9" width="10.7109375" bestFit="1" customWidth="1"/>
  </cols>
  <sheetData>
    <row r="1" spans="1:12" x14ac:dyDescent="0.25">
      <c r="A1" t="s">
        <v>216</v>
      </c>
      <c r="G1" s="8"/>
      <c r="K1" s="8"/>
      <c r="L1" s="8"/>
    </row>
    <row r="2" spans="1:12" x14ac:dyDescent="0.25">
      <c r="A2" t="s">
        <v>172</v>
      </c>
      <c r="G2" s="8"/>
      <c r="K2" s="8"/>
      <c r="L2" s="8"/>
    </row>
    <row r="3" spans="1:12" x14ac:dyDescent="0.25">
      <c r="A3" t="s">
        <v>173</v>
      </c>
    </row>
    <row r="4" spans="1:12" x14ac:dyDescent="0.25">
      <c r="A4" t="s">
        <v>174</v>
      </c>
    </row>
    <row r="5" spans="1:12" x14ac:dyDescent="0.25">
      <c r="A5" t="s">
        <v>175</v>
      </c>
    </row>
    <row r="6" spans="1:12" x14ac:dyDescent="0.25">
      <c r="A6" t="s">
        <v>176</v>
      </c>
    </row>
    <row r="7" spans="1:12" x14ac:dyDescent="0.25">
      <c r="A7" t="s">
        <v>177</v>
      </c>
    </row>
    <row r="8" spans="1:12" x14ac:dyDescent="0.25">
      <c r="A8" t="s">
        <v>178</v>
      </c>
    </row>
    <row r="9" spans="1:12" x14ac:dyDescent="0.25">
      <c r="A9" t="s">
        <v>217</v>
      </c>
    </row>
    <row r="10" spans="1:12" x14ac:dyDescent="0.25">
      <c r="A10" t="s">
        <v>179</v>
      </c>
    </row>
    <row r="11" spans="1:12" x14ac:dyDescent="0.25">
      <c r="A11" t="s">
        <v>218</v>
      </c>
    </row>
    <row r="12" spans="1:12" x14ac:dyDescent="0.25">
      <c r="A12" t="s">
        <v>180</v>
      </c>
    </row>
    <row r="13" spans="1:12" x14ac:dyDescent="0.25">
      <c r="A13" t="s">
        <v>181</v>
      </c>
    </row>
    <row r="14" spans="1:12" x14ac:dyDescent="0.25">
      <c r="A14" t="s">
        <v>182</v>
      </c>
    </row>
    <row r="15" spans="1:12" x14ac:dyDescent="0.25">
      <c r="A15" t="s">
        <v>183</v>
      </c>
    </row>
    <row r="16" spans="1:12" x14ac:dyDescent="0.25">
      <c r="A16" t="s">
        <v>219</v>
      </c>
    </row>
    <row r="17" spans="1:1" x14ac:dyDescent="0.25">
      <c r="A17" t="s">
        <v>220</v>
      </c>
    </row>
    <row r="18" spans="1:1" x14ac:dyDescent="0.25">
      <c r="A18" t="s">
        <v>184</v>
      </c>
    </row>
    <row r="19" spans="1:1" x14ac:dyDescent="0.25">
      <c r="A19" t="s">
        <v>185</v>
      </c>
    </row>
    <row r="20" spans="1:1" x14ac:dyDescent="0.25">
      <c r="A20" t="s">
        <v>186</v>
      </c>
    </row>
    <row r="21" spans="1:1" x14ac:dyDescent="0.25">
      <c r="A21" t="s">
        <v>187</v>
      </c>
    </row>
    <row r="22" spans="1:1" x14ac:dyDescent="0.25">
      <c r="A22" t="s">
        <v>188</v>
      </c>
    </row>
    <row r="23" spans="1:1" x14ac:dyDescent="0.25">
      <c r="A23" t="s">
        <v>189</v>
      </c>
    </row>
    <row r="24" spans="1:1" x14ac:dyDescent="0.25">
      <c r="A24" t="s">
        <v>190</v>
      </c>
    </row>
    <row r="25" spans="1:1" x14ac:dyDescent="0.25">
      <c r="A25" t="s">
        <v>191</v>
      </c>
    </row>
    <row r="26" spans="1:1" x14ac:dyDescent="0.25">
      <c r="A26" t="s">
        <v>192</v>
      </c>
    </row>
    <row r="27" spans="1:1" x14ac:dyDescent="0.25">
      <c r="A27" t="s">
        <v>193</v>
      </c>
    </row>
    <row r="28" spans="1:1" x14ac:dyDescent="0.25">
      <c r="A28" t="s">
        <v>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5"/>
  <sheetViews>
    <sheetView workbookViewId="0">
      <selection sqref="A1:E1"/>
    </sheetView>
  </sheetViews>
  <sheetFormatPr defaultRowHeight="15" x14ac:dyDescent="0.25"/>
  <cols>
    <col min="1" max="1" width="16.42578125" bestFit="1" customWidth="1"/>
    <col min="2" max="2" width="109.28515625" bestFit="1" customWidth="1"/>
    <col min="3" max="3" width="19" bestFit="1" customWidth="1"/>
    <col min="4" max="4" width="81.85546875" bestFit="1" customWidth="1"/>
    <col min="5" max="5" width="38.28515625" bestFit="1" customWidth="1"/>
  </cols>
  <sheetData>
    <row r="1" spans="1:5" ht="23.25" x14ac:dyDescent="0.25">
      <c r="A1" s="40" t="s">
        <v>215</v>
      </c>
      <c r="B1" s="40"/>
      <c r="C1" s="40"/>
      <c r="D1" s="40"/>
      <c r="E1" s="40"/>
    </row>
    <row r="2" spans="1:5" x14ac:dyDescent="0.25">
      <c r="A2" s="38" t="s">
        <v>10</v>
      </c>
      <c r="B2" t="s">
        <v>197</v>
      </c>
      <c r="C2" t="s">
        <v>198</v>
      </c>
      <c r="D2" t="s">
        <v>199</v>
      </c>
      <c r="E2" t="s">
        <v>200</v>
      </c>
    </row>
    <row r="3" spans="1:5" x14ac:dyDescent="0.25">
      <c r="A3" s="38"/>
      <c r="B3" t="s">
        <v>197</v>
      </c>
      <c r="C3" t="s">
        <v>201</v>
      </c>
      <c r="E3" t="s">
        <v>202</v>
      </c>
    </row>
    <row r="4" spans="1:5" x14ac:dyDescent="0.25">
      <c r="A4" s="38"/>
      <c r="B4" t="s">
        <v>197</v>
      </c>
      <c r="C4" t="s">
        <v>203</v>
      </c>
      <c r="E4" t="s">
        <v>204</v>
      </c>
    </row>
    <row r="5" spans="1:5" x14ac:dyDescent="0.25">
      <c r="A5" s="38"/>
      <c r="B5" t="s">
        <v>197</v>
      </c>
      <c r="C5" t="s">
        <v>205</v>
      </c>
      <c r="E5" t="s">
        <v>206</v>
      </c>
    </row>
    <row r="6" spans="1:5" x14ac:dyDescent="0.25">
      <c r="A6" s="38"/>
      <c r="B6" t="s">
        <v>197</v>
      </c>
      <c r="C6" t="s">
        <v>207</v>
      </c>
      <c r="E6" t="s">
        <v>208</v>
      </c>
    </row>
    <row r="7" spans="1:5" x14ac:dyDescent="0.25">
      <c r="A7" s="38"/>
      <c r="B7" t="s">
        <v>200</v>
      </c>
      <c r="C7" t="s">
        <v>209</v>
      </c>
      <c r="D7" t="s">
        <v>210</v>
      </c>
      <c r="E7" t="s">
        <v>304</v>
      </c>
    </row>
    <row r="8" spans="1:5" x14ac:dyDescent="0.25">
      <c r="A8" s="38"/>
      <c r="B8" t="s">
        <v>204</v>
      </c>
      <c r="C8" t="s">
        <v>278</v>
      </c>
      <c r="E8" t="s">
        <v>206</v>
      </c>
    </row>
    <row r="9" spans="1:5" x14ac:dyDescent="0.25">
      <c r="A9" s="38"/>
      <c r="B9" t="s">
        <v>204</v>
      </c>
      <c r="C9" t="s">
        <v>211</v>
      </c>
      <c r="E9" t="s">
        <v>208</v>
      </c>
    </row>
    <row r="10" spans="1:5" x14ac:dyDescent="0.25">
      <c r="A10" s="38"/>
      <c r="B10" t="s">
        <v>204</v>
      </c>
      <c r="C10" t="s">
        <v>212</v>
      </c>
      <c r="E10" t="s">
        <v>213</v>
      </c>
    </row>
    <row r="11" spans="1:5" x14ac:dyDescent="0.25">
      <c r="A11" s="38"/>
      <c r="B11" t="s">
        <v>305</v>
      </c>
      <c r="C11" t="s">
        <v>303</v>
      </c>
      <c r="D11" t="s">
        <v>214</v>
      </c>
      <c r="E11" t="s">
        <v>208</v>
      </c>
    </row>
    <row r="12" spans="1:5" x14ac:dyDescent="0.25">
      <c r="A12" s="2"/>
    </row>
    <row r="13" spans="1:5" x14ac:dyDescent="0.25">
      <c r="A13" s="2"/>
    </row>
    <row r="14" spans="1:5" x14ac:dyDescent="0.25">
      <c r="A14" s="2" t="s">
        <v>221</v>
      </c>
      <c r="B14" t="s">
        <v>197</v>
      </c>
      <c r="C14" t="s">
        <v>198</v>
      </c>
      <c r="D14" t="s">
        <v>222</v>
      </c>
    </row>
    <row r="15" spans="1:5" x14ac:dyDescent="0.25">
      <c r="A15" s="2" t="s">
        <v>76</v>
      </c>
      <c r="B15" t="s">
        <v>197</v>
      </c>
      <c r="C15" t="s">
        <v>198</v>
      </c>
      <c r="D15" t="s">
        <v>223</v>
      </c>
    </row>
    <row r="16" spans="1:5" x14ac:dyDescent="0.25">
      <c r="A16" s="11" t="s">
        <v>74</v>
      </c>
      <c r="B16" s="12"/>
      <c r="C16" s="12"/>
      <c r="D16" s="12"/>
    </row>
    <row r="17" spans="1:4" x14ac:dyDescent="0.25">
      <c r="A17" s="2" t="s">
        <v>75</v>
      </c>
      <c r="B17" t="s">
        <v>197</v>
      </c>
      <c r="C17" t="s">
        <v>198</v>
      </c>
      <c r="D17" t="s">
        <v>222</v>
      </c>
    </row>
    <row r="18" spans="1:4" x14ac:dyDescent="0.25">
      <c r="A18" s="2" t="s">
        <v>224</v>
      </c>
      <c r="B18" t="s">
        <v>197</v>
      </c>
      <c r="C18" t="s">
        <v>198</v>
      </c>
      <c r="D18" t="s">
        <v>222</v>
      </c>
    </row>
    <row r="19" spans="1:4" x14ac:dyDescent="0.25">
      <c r="A19" s="9" t="s">
        <v>72</v>
      </c>
      <c r="B19" s="10"/>
      <c r="C19" s="10"/>
      <c r="D19" s="10"/>
    </row>
    <row r="20" spans="1:4" x14ac:dyDescent="0.25">
      <c r="A20" s="2" t="s">
        <v>73</v>
      </c>
      <c r="B20" t="s">
        <v>225</v>
      </c>
      <c r="C20" t="s">
        <v>226</v>
      </c>
      <c r="D20" t="s">
        <v>227</v>
      </c>
    </row>
    <row r="21" spans="1:4" x14ac:dyDescent="0.25">
      <c r="A21" t="s">
        <v>262</v>
      </c>
      <c r="B21" t="s">
        <v>228</v>
      </c>
    </row>
    <row r="22" spans="1:4" x14ac:dyDescent="0.25">
      <c r="B22" t="s">
        <v>229</v>
      </c>
    </row>
    <row r="23" spans="1:4" x14ac:dyDescent="0.25">
      <c r="B23" t="s">
        <v>230</v>
      </c>
    </row>
    <row r="24" spans="1:4" x14ac:dyDescent="0.25">
      <c r="B24" t="s">
        <v>231</v>
      </c>
    </row>
    <row r="25" spans="1:4" x14ac:dyDescent="0.25">
      <c r="B25" t="s">
        <v>232</v>
      </c>
    </row>
    <row r="26" spans="1:4" x14ac:dyDescent="0.25">
      <c r="B26" t="s">
        <v>233</v>
      </c>
    </row>
    <row r="27" spans="1:4" x14ac:dyDescent="0.25">
      <c r="B27" t="s">
        <v>234</v>
      </c>
    </row>
    <row r="28" spans="1:4" x14ac:dyDescent="0.25">
      <c r="B28" t="s">
        <v>235</v>
      </c>
    </row>
    <row r="29" spans="1:4" x14ac:dyDescent="0.25">
      <c r="B29" t="s">
        <v>236</v>
      </c>
    </row>
    <row r="30" spans="1:4" x14ac:dyDescent="0.25">
      <c r="B30" t="s">
        <v>237</v>
      </c>
    </row>
    <row r="31" spans="1:4" x14ac:dyDescent="0.25">
      <c r="B31" t="s">
        <v>238</v>
      </c>
    </row>
    <row r="32" spans="1:4" x14ac:dyDescent="0.25">
      <c r="B32" t="s">
        <v>239</v>
      </c>
    </row>
    <row r="33" spans="2:2" x14ac:dyDescent="0.25">
      <c r="B33" t="s">
        <v>240</v>
      </c>
    </row>
    <row r="34" spans="2:2" x14ac:dyDescent="0.25">
      <c r="B34" t="s">
        <v>241</v>
      </c>
    </row>
    <row r="35" spans="2:2" x14ac:dyDescent="0.25">
      <c r="B35" t="s">
        <v>242</v>
      </c>
    </row>
    <row r="36" spans="2:2" x14ac:dyDescent="0.25">
      <c r="B36" t="s">
        <v>243</v>
      </c>
    </row>
    <row r="37" spans="2:2" x14ac:dyDescent="0.25">
      <c r="B37" t="s">
        <v>244</v>
      </c>
    </row>
    <row r="38" spans="2:2" x14ac:dyDescent="0.25">
      <c r="B38" t="s">
        <v>245</v>
      </c>
    </row>
    <row r="39" spans="2:2" x14ac:dyDescent="0.25">
      <c r="B39" t="s">
        <v>246</v>
      </c>
    </row>
    <row r="40" spans="2:2" x14ac:dyDescent="0.25">
      <c r="B40" t="s">
        <v>247</v>
      </c>
    </row>
    <row r="41" spans="2:2" x14ac:dyDescent="0.25">
      <c r="B41" t="s">
        <v>248</v>
      </c>
    </row>
    <row r="42" spans="2:2" x14ac:dyDescent="0.25">
      <c r="B42" t="s">
        <v>249</v>
      </c>
    </row>
    <row r="43" spans="2:2" x14ac:dyDescent="0.25">
      <c r="B43" t="s">
        <v>250</v>
      </c>
    </row>
    <row r="44" spans="2:2" x14ac:dyDescent="0.25">
      <c r="B44" t="s">
        <v>251</v>
      </c>
    </row>
    <row r="45" spans="2:2" x14ac:dyDescent="0.25">
      <c r="B45" t="s">
        <v>252</v>
      </c>
    </row>
    <row r="46" spans="2:2" x14ac:dyDescent="0.25">
      <c r="B46" t="s">
        <v>253</v>
      </c>
    </row>
    <row r="47" spans="2:2" x14ac:dyDescent="0.25">
      <c r="B47" t="s">
        <v>254</v>
      </c>
    </row>
    <row r="48" spans="2:2" x14ac:dyDescent="0.25">
      <c r="B48" t="s">
        <v>255</v>
      </c>
    </row>
    <row r="49" spans="1:2" x14ac:dyDescent="0.25">
      <c r="B49" t="s">
        <v>256</v>
      </c>
    </row>
    <row r="50" spans="1:2" x14ac:dyDescent="0.25">
      <c r="B50" t="s">
        <v>257</v>
      </c>
    </row>
    <row r="51" spans="1:2" x14ac:dyDescent="0.25">
      <c r="B51" t="s">
        <v>258</v>
      </c>
    </row>
    <row r="52" spans="1:2" x14ac:dyDescent="0.25">
      <c r="B52" t="s">
        <v>259</v>
      </c>
    </row>
    <row r="53" spans="1:2" x14ac:dyDescent="0.25">
      <c r="B53" t="s">
        <v>260</v>
      </c>
    </row>
    <row r="54" spans="1:2" x14ac:dyDescent="0.25">
      <c r="B54" t="s">
        <v>261</v>
      </c>
    </row>
    <row r="55" spans="1:2" x14ac:dyDescent="0.25">
      <c r="A55" s="11" t="s">
        <v>196</v>
      </c>
      <c r="B55" s="12"/>
    </row>
  </sheetData>
  <mergeCells count="2">
    <mergeCell ref="A1:E1"/>
    <mergeCell ref="A2:A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P18"/>
  <sheetViews>
    <sheetView topLeftCell="C1" workbookViewId="0">
      <selection activeCell="F17" sqref="F17:G17"/>
    </sheetView>
  </sheetViews>
  <sheetFormatPr defaultRowHeight="15" x14ac:dyDescent="0.25"/>
  <cols>
    <col min="1" max="1" width="98.28515625" bestFit="1" customWidth="1"/>
    <col min="2" max="2" width="38.28515625" bestFit="1" customWidth="1"/>
    <col min="3" max="4" width="38.28515625" customWidth="1"/>
    <col min="5" max="5" width="28.28515625" bestFit="1" customWidth="1"/>
    <col min="6" max="7" width="28.28515625" customWidth="1"/>
    <col min="8" max="8" width="30.42578125" bestFit="1" customWidth="1"/>
    <col min="9" max="9" width="28.28515625" customWidth="1"/>
    <col min="10" max="10" width="30.42578125" bestFit="1" customWidth="1"/>
    <col min="11" max="11" width="10" bestFit="1" customWidth="1"/>
    <col min="12" max="12" width="34.5703125" bestFit="1" customWidth="1"/>
    <col min="13" max="13" width="11.5703125" bestFit="1" customWidth="1"/>
    <col min="14" max="14" width="22" bestFit="1" customWidth="1"/>
    <col min="16" max="16" width="4.5703125" bestFit="1" customWidth="1"/>
    <col min="17" max="17" width="10" bestFit="1" customWidth="1"/>
    <col min="18" max="18" width="21.42578125" bestFit="1" customWidth="1"/>
    <col min="19" max="19" width="10.5703125" bestFit="1" customWidth="1"/>
  </cols>
  <sheetData>
    <row r="1" spans="2:16" x14ac:dyDescent="0.25">
      <c r="P1" s="8"/>
    </row>
    <row r="2" spans="2:16" x14ac:dyDescent="0.25">
      <c r="B2" t="s">
        <v>324</v>
      </c>
      <c r="E2" t="s">
        <v>354</v>
      </c>
      <c r="F2">
        <v>4.5115106000000003</v>
      </c>
      <c r="H2" t="s">
        <v>339</v>
      </c>
      <c r="I2">
        <v>0.2462839</v>
      </c>
      <c r="P2" s="8"/>
    </row>
    <row r="3" spans="2:16" x14ac:dyDescent="0.25">
      <c r="B3" t="s">
        <v>325</v>
      </c>
      <c r="E3" t="s">
        <v>355</v>
      </c>
      <c r="F3">
        <v>3.2143497999999999</v>
      </c>
      <c r="H3" t="s">
        <v>340</v>
      </c>
      <c r="I3">
        <v>0.50436369999999997</v>
      </c>
      <c r="P3" s="8"/>
    </row>
    <row r="4" spans="2:16" x14ac:dyDescent="0.25">
      <c r="B4" t="s">
        <v>326</v>
      </c>
      <c r="E4" t="s">
        <v>356</v>
      </c>
      <c r="F4">
        <v>3.2499069999999999</v>
      </c>
      <c r="H4" t="s">
        <v>341</v>
      </c>
      <c r="I4">
        <v>0.65394379999999996</v>
      </c>
      <c r="P4" s="8"/>
    </row>
    <row r="5" spans="2:16" x14ac:dyDescent="0.25">
      <c r="B5" t="s">
        <v>327</v>
      </c>
      <c r="E5" t="s">
        <v>357</v>
      </c>
      <c r="F5">
        <v>3.0934777000000002</v>
      </c>
      <c r="H5" t="s">
        <v>342</v>
      </c>
      <c r="I5">
        <v>0.68591630000000003</v>
      </c>
      <c r="P5" s="8"/>
    </row>
    <row r="6" spans="2:16" x14ac:dyDescent="0.25">
      <c r="B6" t="s">
        <v>328</v>
      </c>
      <c r="E6" t="s">
        <v>358</v>
      </c>
      <c r="F6">
        <v>2.2832458</v>
      </c>
      <c r="H6" t="s">
        <v>343</v>
      </c>
      <c r="I6">
        <v>0.69916310000000004</v>
      </c>
      <c r="P6" s="8"/>
    </row>
    <row r="7" spans="2:16" x14ac:dyDescent="0.25">
      <c r="B7" t="s">
        <v>329</v>
      </c>
      <c r="E7" t="s">
        <v>359</v>
      </c>
      <c r="F7">
        <v>1.7925644999999999</v>
      </c>
      <c r="H7" t="s">
        <v>344</v>
      </c>
      <c r="I7">
        <v>0.6985112</v>
      </c>
      <c r="P7" s="8"/>
    </row>
    <row r="8" spans="2:16" x14ac:dyDescent="0.25">
      <c r="B8" t="s">
        <v>330</v>
      </c>
      <c r="E8" t="s">
        <v>360</v>
      </c>
      <c r="F8">
        <v>1.3795464</v>
      </c>
      <c r="H8" t="s">
        <v>345</v>
      </c>
      <c r="I8">
        <v>0.70035789999999998</v>
      </c>
      <c r="P8" s="8"/>
    </row>
    <row r="9" spans="2:16" x14ac:dyDescent="0.25">
      <c r="B9" t="s">
        <v>331</v>
      </c>
      <c r="E9" t="s">
        <v>361</v>
      </c>
      <c r="F9">
        <v>0.76780490000000001</v>
      </c>
      <c r="H9" t="s">
        <v>346</v>
      </c>
      <c r="I9">
        <v>0.71414109999999997</v>
      </c>
      <c r="P9" s="8"/>
    </row>
    <row r="10" spans="2:16" x14ac:dyDescent="0.25">
      <c r="B10" t="s">
        <v>332</v>
      </c>
      <c r="E10" t="s">
        <v>362</v>
      </c>
      <c r="F10">
        <v>0.72184329999999997</v>
      </c>
      <c r="H10" t="s">
        <v>347</v>
      </c>
      <c r="I10">
        <v>0.7163931</v>
      </c>
    </row>
    <row r="11" spans="2:16" x14ac:dyDescent="0.25">
      <c r="B11" t="s">
        <v>333</v>
      </c>
      <c r="E11" t="s">
        <v>363</v>
      </c>
      <c r="F11">
        <v>0.71653929999999999</v>
      </c>
      <c r="H11" t="s">
        <v>348</v>
      </c>
      <c r="I11">
        <v>0.71664839999999996</v>
      </c>
    </row>
    <row r="12" spans="2:16" x14ac:dyDescent="0.25">
      <c r="B12" t="s">
        <v>334</v>
      </c>
      <c r="E12" t="s">
        <v>364</v>
      </c>
      <c r="F12">
        <v>0.71325170000000004</v>
      </c>
      <c r="H12" t="s">
        <v>349</v>
      </c>
      <c r="I12">
        <v>0.72474419999999995</v>
      </c>
    </row>
    <row r="13" spans="2:16" x14ac:dyDescent="0.25">
      <c r="B13" t="s">
        <v>335</v>
      </c>
      <c r="E13" t="s">
        <v>365</v>
      </c>
      <c r="F13">
        <v>0.70801250000000004</v>
      </c>
      <c r="H13" t="s">
        <v>350</v>
      </c>
      <c r="I13">
        <v>0.71779329999999997</v>
      </c>
    </row>
    <row r="14" spans="2:16" x14ac:dyDescent="0.25">
      <c r="B14" t="s">
        <v>336</v>
      </c>
      <c r="E14" t="s">
        <v>366</v>
      </c>
      <c r="F14">
        <v>0.70752680000000001</v>
      </c>
      <c r="H14" t="s">
        <v>351</v>
      </c>
      <c r="I14">
        <v>0.72156160000000003</v>
      </c>
    </row>
    <row r="15" spans="2:16" x14ac:dyDescent="0.25">
      <c r="B15" t="s">
        <v>337</v>
      </c>
      <c r="E15" t="s">
        <v>367</v>
      </c>
      <c r="F15">
        <v>0.70577040000000002</v>
      </c>
      <c r="H15" t="s">
        <v>352</v>
      </c>
      <c r="I15">
        <v>0.71858440000000001</v>
      </c>
    </row>
    <row r="16" spans="2:16" x14ac:dyDescent="0.25">
      <c r="B16" t="s">
        <v>338</v>
      </c>
      <c r="E16" t="s">
        <v>368</v>
      </c>
      <c r="F16">
        <v>0.70570949999999999</v>
      </c>
      <c r="H16" t="s">
        <v>353</v>
      </c>
      <c r="I16">
        <v>0.71808450000000001</v>
      </c>
      <c r="M16" s="13"/>
    </row>
    <row r="17" spans="6:13" x14ac:dyDescent="0.25">
      <c r="F17">
        <f>AVERAGE(F2:F16)</f>
        <v>1.6847373466666666</v>
      </c>
      <c r="G17">
        <f>MIN(F2:F16)</f>
        <v>0.70570949999999999</v>
      </c>
      <c r="I17">
        <f>AVERAGE(I2:I16)</f>
        <v>0.66243269999999987</v>
      </c>
      <c r="J17">
        <f>MAX(I2:I16)</f>
        <v>0.72474419999999995</v>
      </c>
      <c r="M17" s="13"/>
    </row>
    <row r="18" spans="6:13" x14ac:dyDescent="0.25">
      <c r="M18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10296-D0C7-4233-96ED-2431B0CEC650}">
  <dimension ref="B1:G20"/>
  <sheetViews>
    <sheetView tabSelected="1" workbookViewId="0">
      <selection activeCell="G15" sqref="D15:G15"/>
    </sheetView>
  </sheetViews>
  <sheetFormatPr defaultRowHeight="15" x14ac:dyDescent="0.25"/>
  <cols>
    <col min="1" max="1" width="5.28515625" customWidth="1"/>
    <col min="2" max="2" width="38.28515625" bestFit="1" customWidth="1"/>
    <col min="3" max="3" width="38.28515625" customWidth="1"/>
    <col min="4" max="4" width="28.28515625" bestFit="1" customWidth="1"/>
    <col min="5" max="5" width="28.28515625" customWidth="1"/>
    <col min="6" max="6" width="30.42578125" bestFit="1" customWidth="1"/>
  </cols>
  <sheetData>
    <row r="1" spans="2:7" x14ac:dyDescent="0.25">
      <c r="B1" t="s">
        <v>369</v>
      </c>
      <c r="D1" t="s">
        <v>354</v>
      </c>
      <c r="E1">
        <v>4.6001586000000003</v>
      </c>
      <c r="F1" t="s">
        <v>339</v>
      </c>
      <c r="G1">
        <v>0.22107950000000001</v>
      </c>
    </row>
    <row r="2" spans="2:7" x14ac:dyDescent="0.25">
      <c r="B2" t="s">
        <v>370</v>
      </c>
      <c r="D2" t="s">
        <v>355</v>
      </c>
      <c r="E2">
        <v>3.1336341000000001</v>
      </c>
      <c r="F2" t="s">
        <v>340</v>
      </c>
      <c r="G2">
        <v>0.46732240000000003</v>
      </c>
    </row>
    <row r="3" spans="2:7" x14ac:dyDescent="0.25">
      <c r="B3" t="s">
        <v>371</v>
      </c>
      <c r="D3" t="s">
        <v>356</v>
      </c>
      <c r="E3">
        <v>2.5772141999999998</v>
      </c>
      <c r="F3" t="s">
        <v>341</v>
      </c>
      <c r="G3">
        <v>0.63389790000000001</v>
      </c>
    </row>
    <row r="4" spans="2:7" x14ac:dyDescent="0.25">
      <c r="B4" t="s">
        <v>372</v>
      </c>
      <c r="D4" t="s">
        <v>357</v>
      </c>
      <c r="E4">
        <v>2.3814419999999998</v>
      </c>
      <c r="F4" t="s">
        <v>342</v>
      </c>
      <c r="G4">
        <v>0.66906180000000004</v>
      </c>
    </row>
    <row r="5" spans="2:7" x14ac:dyDescent="0.25">
      <c r="B5" t="s">
        <v>373</v>
      </c>
      <c r="D5" t="s">
        <v>358</v>
      </c>
      <c r="E5">
        <v>3.4459906</v>
      </c>
      <c r="F5" t="s">
        <v>343</v>
      </c>
      <c r="G5">
        <v>0.68560489999999996</v>
      </c>
    </row>
    <row r="6" spans="2:7" x14ac:dyDescent="0.25">
      <c r="B6" t="s">
        <v>374</v>
      </c>
      <c r="D6" t="s">
        <v>359</v>
      </c>
      <c r="E6">
        <v>1.9649296000000001</v>
      </c>
      <c r="F6" t="s">
        <v>344</v>
      </c>
      <c r="G6">
        <v>0.69352519999999995</v>
      </c>
    </row>
    <row r="7" spans="2:7" x14ac:dyDescent="0.25">
      <c r="B7" t="s">
        <v>375</v>
      </c>
      <c r="D7" t="s">
        <v>360</v>
      </c>
      <c r="E7">
        <v>1.5343743000000001</v>
      </c>
      <c r="F7" t="s">
        <v>345</v>
      </c>
      <c r="G7">
        <v>0.69922379999999995</v>
      </c>
    </row>
    <row r="8" spans="2:7" x14ac:dyDescent="0.25">
      <c r="B8" t="s">
        <v>376</v>
      </c>
      <c r="D8" t="s">
        <v>361</v>
      </c>
      <c r="E8">
        <v>0.91749329999999996</v>
      </c>
      <c r="F8" t="s">
        <v>346</v>
      </c>
      <c r="G8">
        <v>0.69933100000000004</v>
      </c>
    </row>
    <row r="9" spans="2:7" x14ac:dyDescent="0.25">
      <c r="B9" t="s">
        <v>377</v>
      </c>
      <c r="D9" t="s">
        <v>362</v>
      </c>
      <c r="E9">
        <v>0.79317459999999995</v>
      </c>
      <c r="F9" t="s">
        <v>347</v>
      </c>
      <c r="G9">
        <v>0.70561300000000005</v>
      </c>
    </row>
    <row r="10" spans="2:7" x14ac:dyDescent="0.25">
      <c r="B10" t="s">
        <v>378</v>
      </c>
      <c r="D10" t="s">
        <v>363</v>
      </c>
      <c r="E10">
        <v>1.554494</v>
      </c>
      <c r="F10" t="s">
        <v>348</v>
      </c>
      <c r="G10">
        <v>0.70823389999999997</v>
      </c>
    </row>
    <row r="11" spans="2:7" x14ac:dyDescent="0.25">
      <c r="B11" t="s">
        <v>379</v>
      </c>
      <c r="D11" t="s">
        <v>364</v>
      </c>
      <c r="E11">
        <v>2.1284971000000001</v>
      </c>
      <c r="F11" t="s">
        <v>349</v>
      </c>
      <c r="G11">
        <v>0.7069278</v>
      </c>
    </row>
    <row r="12" spans="2:7" x14ac:dyDescent="0.25">
      <c r="B12" t="s">
        <v>380</v>
      </c>
      <c r="D12" t="s">
        <v>365</v>
      </c>
      <c r="E12">
        <v>1.7837869</v>
      </c>
      <c r="F12" t="s">
        <v>350</v>
      </c>
      <c r="G12">
        <v>0.7078911</v>
      </c>
    </row>
    <row r="13" spans="2:7" x14ac:dyDescent="0.25">
      <c r="B13" t="s">
        <v>381</v>
      </c>
      <c r="D13" t="s">
        <v>366</v>
      </c>
      <c r="E13">
        <v>1.9452849999999999</v>
      </c>
      <c r="F13" t="s">
        <v>351</v>
      </c>
      <c r="G13">
        <v>0.69659930000000003</v>
      </c>
    </row>
    <row r="14" spans="2:7" x14ac:dyDescent="0.25">
      <c r="B14" t="s">
        <v>382</v>
      </c>
      <c r="D14" t="s">
        <v>367</v>
      </c>
      <c r="E14">
        <v>1.4761834</v>
      </c>
      <c r="F14" t="s">
        <v>352</v>
      </c>
      <c r="G14">
        <v>0.70874820000000005</v>
      </c>
    </row>
    <row r="15" spans="2:7" x14ac:dyDescent="0.25">
      <c r="B15" t="s">
        <v>383</v>
      </c>
      <c r="D15" t="s">
        <v>368</v>
      </c>
      <c r="E15">
        <v>1.6422706</v>
      </c>
      <c r="F15" t="s">
        <v>353</v>
      </c>
      <c r="G15">
        <v>0.71305390000000002</v>
      </c>
    </row>
    <row r="16" spans="2:7" x14ac:dyDescent="0.25">
      <c r="B16" t="s">
        <v>384</v>
      </c>
      <c r="D16" t="s">
        <v>386</v>
      </c>
      <c r="E16">
        <v>2.1250274</v>
      </c>
      <c r="F16" t="s">
        <v>388</v>
      </c>
      <c r="G16">
        <v>0.71109199999999995</v>
      </c>
    </row>
    <row r="17" spans="2:7" x14ac:dyDescent="0.25">
      <c r="B17" t="s">
        <v>385</v>
      </c>
      <c r="D17" t="s">
        <v>387</v>
      </c>
      <c r="E17">
        <v>2.0070492999999998</v>
      </c>
      <c r="F17" t="s">
        <v>389</v>
      </c>
      <c r="G17">
        <v>0.70196709999999995</v>
      </c>
    </row>
    <row r="18" spans="2:7" x14ac:dyDescent="0.25">
      <c r="E18">
        <f>AVERAGE(E1:E17)</f>
        <v>2.1182944117647056</v>
      </c>
      <c r="G18">
        <f>AVERAGE(G1:G17)</f>
        <v>0.6546572235294118</v>
      </c>
    </row>
    <row r="19" spans="2:7" x14ac:dyDescent="0.25">
      <c r="E19">
        <f>MIN(E1:E17)</f>
        <v>0.79317459999999995</v>
      </c>
    </row>
    <row r="20" spans="2:7" x14ac:dyDescent="0.25">
      <c r="E20">
        <v>9</v>
      </c>
      <c r="G20">
        <f>MAX(G1:G17)</f>
        <v>0.71305390000000002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AllResult</vt:lpstr>
      <vt:lpstr>Sheet2</vt:lpstr>
      <vt:lpstr>Sheet3</vt:lpstr>
      <vt:lpstr>Sheet4</vt:lpstr>
      <vt:lpstr>Sheet5</vt:lpstr>
      <vt:lpstr>Sheet6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CCC CCC</cp:lastModifiedBy>
  <dcterms:created xsi:type="dcterms:W3CDTF">2024-10-09T10:45:35Z</dcterms:created>
  <dcterms:modified xsi:type="dcterms:W3CDTF">2024-11-27T11:17:41Z</dcterms:modified>
</cp:coreProperties>
</file>